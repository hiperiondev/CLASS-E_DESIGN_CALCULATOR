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LPF Direct (R_opt)" sheetId="2" state="visible" r:id="rId4"/>
    <sheet name="MOSFET Reference Table" sheetId="3" state="visible" r:id="rId5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</commentList>
</comments>
</file>

<file path=xl/sharedStrings.xml><?xml version="1.0" encoding="utf-8"?>
<sst xmlns="http://schemas.openxmlformats.org/spreadsheetml/2006/main" count="476" uniqueCount="294">
  <si>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</si>
  <si>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</si>
  <si>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LU3VEA – lu3vea@gmail.com - Licence: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</si>
  <si>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in J95 → η(C88).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</si>
  <si>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</si>
  <si>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</si>
  <si>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</si>
  <si>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</si>
  <si>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</si>
  <si>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</si>
  <si>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</si>
  <si>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</si>
  <si>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</si>
  <si>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</si>
  <si>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</si>
  <si>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</si>
  <si>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</si>
  <si>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</si>
  <si>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</si>
  <si>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</si>
  <si>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</si>
  <si>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</si>
  <si>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</si>
  <si>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</si>
  <si>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</si>
  <si>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</si>
  <si>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</si>
  <si>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</si>
  <si>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</si>
  <si>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</si>
  <si>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</si>
  <si>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</si>
  <si>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</si>
  <si>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</si>
  <si>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</si>
  <si>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</si>
  <si>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</si>
  <si>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</si>
  <si>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</si>
  <si>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</si>
  <si>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</si>
  <si>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</si>
  <si>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</si>
  <si>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I35 to override)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</si>
  <si>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</si>
  <si>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</si>
  <si>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</si>
  <si>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</si>
  <si>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</si>
  <si>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</si>
  <si>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</si>
  <si>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</si>
  <si>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</si>
  <si>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</si>
  <si>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</si>
  <si>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current drawn from supply. Uses predicted η (C86, Sokal Eq.2) when numeric; falls back to user-input η (C20). Press F9 until C86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</si>
  <si>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</si>
  <si>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</si>
  <si>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</si>
  <si>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</si>
  <si>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</si>
  <si>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</si>
  <si>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this is a downstream dependency (not a feedback loop): C1 does not feed back into η. Once R converges (convergence indicator shows ✅), C1 is also at its final value. The convergence check in C6 explicitly verifies C1 self-consistency. Subtract MOSFET Coss (C28, scaled by C32) from C44 for external capacitor (C29).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</si>
  <si>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</si>
  <si>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</si>
  <si>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</si>
  <si>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</si>
  <si>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</si>
  <si>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</si>
  <si>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</si>
  <si>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</si>
  <si>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</si>
  <si>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</si>
  <si>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</si>
  <si>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</si>
  <si>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</si>
  <si>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</si>
  <si>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</si>
  <si>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</si>
  <si>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</si>
  <si>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F39 for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</si>
  <si>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</si>
  <si>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46–47. L_ser (rows 52–53)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</si>
  <si>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</si>
  <si>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(E57)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</si>
  <si>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</si>
  <si>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</si>
  <si>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</si>
  <si>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</si>
  <si>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</si>
  <si>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</si>
  <si>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</si>
  <si>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</si>
  <si>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</si>
  <si>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</si>
  <si>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</si>
  <si>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Step-UP (R_drain &lt; Z_load): Shunt C_match from DRAIN node (low-Z) to GND first; then series L_match from drain node toward load. This low-pass topology attenuates harmonics. Step-DOWN (R_drain &gt; Z_load): Series L_match from drain node (high-Z) toward load first; then shunt C_match from load node (low-Z) to GND. In BOTH cases: L_match = Q×R_min/ω; C_match = Q/(ω×R_max). ⚠ THIS L-NETWORK PROVIDES IMPEDANCE MATCH ONLY — also add the 5–7 element Chebyshev/Butterworth LPF below for harmonic attenuation (≥43 dBc FCC / ≥50 dBc 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</si>
  <si>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</si>
  <si>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</si>
  <si>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</si>
  <si>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</si>
  <si>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</si>
  <si>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</si>
  <si>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</si>
  <si>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(real part, after Xciss cancellation by L_in), NOT |Zg|]</t>
  </si>
  <si>
    <t xml:space="preserve">Q_in uses R_gate (C27) — the real part of gate impedance after the resonating inductor L_in cancels reactive Xciss — not |Zg| (C73). Using |Zg| would give incorrect Q because Xciss is neutralised by L_in. Q_in = √(Z_max/Z_min − 1) where Z_max=MAX(Z_source, R_gate) and Z_min=MIN(Z_source, R_gate).</t>
  </si>
  <si>
    <t xml:space="preserve">L_in  (series element)  [µH]</t>
  </si>
  <si>
    <t xml:space="preserve">Two-case explicit model (Xciss/Rgate ratio test):
Case 1 — Xciss &lt; 3×Rgate: L-network model unreliable; full complex-impedance synthesis required (ADS/LTspice recommended). C_in: omit; let simulator determine.
Case 2 — Xciss ≥ 3×Rgate (series-resonance region, normal HF/VHF Class-E): L_in = 1/(ω²·Ciss) resonates out the gate capacitance. C_in is negligible in this regime — omit from circuit. Verification check: X_Lin at ω should equal Xciss (C72) within 5%. For high-Coss devices or VLF designs, confirm with LTspice.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</si>
  <si>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</si>
  <si>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</si>
  <si>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</si>
  <si>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≈ 3.562 × (Vcc − Vo)   ⚠</t>
  </si>
  <si>
    <t xml:space="preserve">⚠ V_pk = 3.562×(Vcc−Vo) uses the nominal supply voltage for worst-case device selection. Supply droop reduces available power but does not lower the peak voltage seen by the device — using a drooped voltage here would underestimate V_pk and lead to selection of an insufficiently rated MOSFET. For MOSFETs Vo=0. For BJTs the +Vo offset ensures the peak voltage cannot be lower than Vo. Under mistuned conditions V_pk can reach 5×Vcc or more. During bench testing/tuning, reduce Vcc to 30% of design value. Choose MOSFET with V_DSS ≥ 3.56×safety_factor×Vcc (see C80).</t>
  </si>
  <si>
    <t xml:space="preserve">Minimum MOSFET V_DSS required  (3×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</si>
  <si>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</si>
  <si>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</si>
  <si>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</si>
  <si>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</si>
  <si>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</si>
  <si>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</si>
  <si>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C18)</t>
  </si>
  <si>
    <t xml:space="preserve">Power Dissipated  P_diss = Vcc·I_dc − P_out</t>
  </si>
  <si>
    <t xml:space="preserve">Heat to be removed by heatsink. I_dc (C42) uses predicted η (C86) when numeric, so P_diss is self-consistent with the Sokal loss model. If C86 shows N/A (no Rds in table), falls back to user-input η (C21).</t>
  </si>
  <si>
    <t xml:space="preserve">Max Allowable θ_JA  =  (T_j_max − T_amb) / P_diss</t>
  </si>
  <si>
    <t xml:space="preserve">°C/W</t>
  </si>
  <si>
    <t xml:space="preserve">LDMOS detection uses Device Type column P in the MOSFET Reference Table (direct INDEX/MATCH lookup). Fallback: LDMOS→200°C, Si-DMOS/Si-planar→150°C. For new devices, add T_j max to column M and Device Type (Si-planar/Si-DMOS/LDMOS/GaN) to column P.</t>
  </si>
  <si>
    <t xml:space="preserve">C2 Coeff Cross-Check:  (C2×ω×R) vs Sokal Table I  |  QL = C18</t>
  </si>
  <si>
    <t xml:space="preserve">Explicit guard for QL &lt; 1.7879 prevents silent errors. Cross-check interpolates against hard-coded Sokal Table I values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</si>
  <si>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</si>
  <si>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</si>
  <si>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</si>
  <si>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</si>
  <si>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</si>
  <si>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</si>
  <si>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</si>
  <si>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</si>
  <si>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</si>
  <si>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</si>
  <si>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</si>
  <si>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</si>
  <si>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</si>
  <si>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</si>
  <si>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</si>
  <si>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</si>
  <si>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</si>
  <si>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</si>
  <si>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</si>
  <si>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</si>
  <si>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</si>
  <si>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</si>
  <si>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</si>
  <si>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</si>
  <si>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</si>
  <si>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</si>
  <si>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</si>
  <si>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</si>
  <si>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</si>
  <si>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</si>
  <si>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</si>
  <si>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</si>
  <si>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</si>
  <si>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</si>
  <si>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</si>
  <si>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</si>
  <si>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</si>
  <si>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</si>
  <si>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</si>
  <si>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</si>
  <si>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</si>
  <si>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</si>
  <si>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</si>
  <si>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</si>
  <si>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</si>
  <si>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</si>
  <si>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</si>
  <si>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</si>
  <si>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</si>
  <si>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</si>
  <si>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</si>
  <si>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</si>
  <si>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</si>
  <si>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</si>
  <si>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</si>
  <si>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</si>
  <si>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</si>
  <si>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</si>
  <si>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</si>
  <si>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</si>
  <si>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</si>
  <si>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</si>
  <si>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</si>
  <si>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</si>
  <si>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</si>
  <si>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</si>
  <si>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</si>
  <si>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</si>
  <si>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</si>
  <si>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</si>
  <si>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</si>
  <si>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</si>
  <si>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</si>
  <si>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</si>
  <si>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Assumes ideal R_opt source</t>
  </si>
  <si>
    <t xml:space="preserve">Attenuation at 3rd harmonic (3f)  ⚠ Assumes ideal R_opt source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</si>
  <si>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</si>
  <si>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</si>
  <si>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</si>
  <si>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</si>
  <si>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</si>
  <si>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</si>
  <si>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</si>
  <si>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</si>
  <si>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</si>
  <si>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</si>
  <si>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</si>
  <si>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</si>
  <si>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</si>
  <si>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</si>
  <si>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</si>
  <si>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
Scale
(empirical approx.
Use Coss,er from
datasheet when
available)
⚠ MT-5: Coss &amp;
scale factor are
Vds-dependent.
Verify at
Vds≈0.5×Vcc.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</si>
  <si>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</si>
  <si>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</si>
  <si>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</si>
  <si>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</si>
  <si>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</si>
  <si>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</si>
  <si>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</si>
  <si>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</si>
  <si>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</si>
  <si>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</si>
  <si>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</si>
  <si>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</si>
  <si>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</si>
  <si>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</si>
  <si>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</si>
  <si>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</si>
  <si>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</si>
  <si>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</si>
  <si>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</si>
  <si>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</si>
  <si>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</si>
  <si>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</si>
  <si>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</si>
  <si>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</si>
  <si>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</si>
  <si>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</si>
  <si>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</si>
  <si>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</si>
  <si>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</si>
  <si>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</si>
  <si>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</si>
  <si>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</si>
  <si>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</si>
  <si>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</si>
  <si>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</si>
  <si>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</si>
  <si>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</si>
  <si>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</si>
  <si>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</si>
  <si>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</si>
  <si>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</si>
  <si>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</si>
  <si>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</si>
  <si>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</si>
  <si>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</si>
  <si>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</si>
  <si>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</si>
  <si>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</si>
  <si>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</si>
  <si>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</si>
  <si>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</si>
  <si>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</si>
  <si>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</si>
  <si>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</si>
  <si>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</si>
  <si>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</si>
  <si>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</si>
  <si>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</si>
  <si>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</si>
  <si>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</si>
  <si>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</si>
  <si>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</si>
  <si>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</si>
  <si>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</si>
  <si>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</si>
  <si>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 ⚠ I_D=20A (column D) is the PULSED drain current rating; continuous I_D(cont) = 10A. Ensure Class-E I_pk (C84) ≤10A for continuous operation.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</si>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</sst>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26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5" fontId="1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"/>
  <sheetViews>
    <sheetView showFormulas="false" showGridLines="true" showRowColHeaders="true" showZeros="true" rightToLeft="false" tabSelected="true" showOutlineSymbols="true" defaultGridColor="true" view="normal" topLeftCell="A91" colorId="64" zoomScale="200" zoomScaleNormal="200" zoomScalePageLayoutView="100" workbookViewId="0">
      <selection pane="topLeft" activeCell="B21" activeCellId="0" sqref="B21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81.39"/>
    <col collapsed="false" customWidth="true" hidden="false" outlineLevel="0" max="3" min="3" style="2" width="16.01"/>
    <col collapsed="false" customWidth="true" hidden="false" outlineLevel="0" max="4" min="4" style="1" width="6.72"/>
    <col collapsed="false" customWidth="true" hidden="false" outlineLevel="0" max="5" min="5" style="3" width="15.07"/>
    <col collapsed="false" customWidth="true" hidden="false" outlineLevel="0" max="6" min="6" style="4" width="69.56"/>
    <col collapsed="false" customWidth="true" hidden="false" outlineLevel="0" max="7" min="7" style="4" width="2.77"/>
    <col collapsed="false" customWidth="true" hidden="false" outlineLevel="0" max="8" min="8" style="3" width="45.29"/>
    <col collapsed="false" customWidth="true" hidden="false" outlineLevel="0" max="9" min="9" style="4" width="15.92"/>
    <col collapsed="false" customWidth="true" hidden="true" outlineLevel="0" max="10" min="10" style="4" width="2.55"/>
    <col collapsed="false" customWidth="false" hidden="false" outlineLevel="0" max="12" min="11" style="4" width="8.64"/>
    <col collapsed="false" customWidth="false" hidden="false" outlineLevel="0" max="256" min="13" style="1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9"/>
      <c r="J1" s="10"/>
    </row>
    <row r="2" customFormat="false" ht="15.65" hidden="false" customHeight="false" outlineLevel="0" collapsed="false">
      <c r="A2" s="6"/>
      <c r="B2" s="11" t="s">
        <v>0</v>
      </c>
      <c r="C2" s="12"/>
      <c r="D2" s="13"/>
      <c r="E2" s="12"/>
      <c r="F2" s="13"/>
      <c r="G2" s="13"/>
      <c r="H2" s="12"/>
      <c r="I2" s="9"/>
      <c r="J2" s="10"/>
    </row>
    <row r="3" customFormat="false" ht="15" hidden="false" customHeight="false" outlineLevel="0" collapsed="false">
      <c r="A3" s="6"/>
      <c r="B3" s="14" t="s">
        <v>1</v>
      </c>
      <c r="C3" s="12"/>
      <c r="D3" s="13"/>
      <c r="E3" s="12"/>
      <c r="F3" s="13"/>
      <c r="G3" s="13"/>
      <c r="H3" s="12"/>
      <c r="I3" s="9"/>
      <c r="J3" s="10"/>
    </row>
    <row r="4" customFormat="false" ht="15" hidden="false" customHeight="false" outlineLevel="0" collapsed="false">
      <c r="A4" s="6"/>
      <c r="B4" s="15" t="s">
        <v>2</v>
      </c>
      <c r="C4" s="12"/>
      <c r="D4" s="13"/>
      <c r="E4" s="12"/>
      <c r="F4" s="13"/>
      <c r="G4" s="13"/>
      <c r="H4" s="12"/>
      <c r="I4" s="9"/>
      <c r="J4" s="10"/>
    </row>
    <row r="5" customFormat="false" ht="15" hidden="false" customHeight="false" outlineLevel="0" collapsed="false">
      <c r="A5" s="6"/>
      <c r="B5" s="15"/>
      <c r="C5" s="12"/>
      <c r="D5" s="13"/>
      <c r="E5" s="12"/>
      <c r="F5" s="13"/>
      <c r="G5" s="13"/>
      <c r="H5" s="12"/>
      <c r="I5" s="9"/>
      <c r="J5" s="10"/>
    </row>
    <row r="6" customFormat="false" ht="63" hidden="false" customHeight="false" outlineLevel="0" collapsed="false">
      <c r="A6" s="6"/>
      <c r="B6" s="16" t="s">
        <v>3</v>
      </c>
      <c r="C6" s="17" t="str">
        <f aca="false">IF(NOT(ISNUMBER(C88)),"🚨 CRITICAL: Enable iterative calculation (File→Options→Formulas, 100 iter, 0.0001 tol) then press F9",IF(C42&gt;0,IF(ABS(IF(ISNUMBER(K6),IF(ISNUMBER(C88),C88,C21),C21)-IF(ISNUMBER(C88),C88,C21))&lt;0.0001,"✅ Iterative calc CONVERGED — values stable","🚨 NOT CONVERGED — Press F9 repeatedly until this message shows ✅"),"⚠ R invalid — check QL input"))</f>
        <v>✅ Iterative calc CONVERGED — values stable</v>
      </c>
      <c r="D6" s="18" t="n">
        <f aca="false">C88</f>
        <v>0.802098689414172</v>
      </c>
      <c r="E6" s="12"/>
      <c r="F6" s="13"/>
      <c r="G6" s="13"/>
      <c r="H6" s="19"/>
      <c r="I6" s="9"/>
      <c r="J6" s="10"/>
      <c r="K6" s="20" t="n">
        <f aca="false">C88</f>
        <v>0.802098689414172</v>
      </c>
    </row>
    <row r="7" customFormat="false" ht="15" hidden="false" customHeight="false" outlineLevel="0" collapsed="false">
      <c r="A7" s="6"/>
      <c r="B7" s="21"/>
      <c r="C7" s="12"/>
      <c r="D7" s="13"/>
      <c r="E7" s="12"/>
      <c r="F7" s="13"/>
      <c r="G7" s="13"/>
      <c r="H7" s="12"/>
      <c r="I7" s="9"/>
      <c r="J7" s="10"/>
    </row>
    <row r="8" customFormat="false" ht="15" hidden="false" customHeight="false" outlineLevel="0" collapsed="false">
      <c r="A8" s="6"/>
      <c r="B8" s="22" t="s">
        <v>4</v>
      </c>
      <c r="C8" s="7"/>
      <c r="D8" s="13"/>
      <c r="E8" s="12"/>
      <c r="F8" s="13"/>
      <c r="G8" s="13"/>
      <c r="H8" s="12"/>
      <c r="I8" s="9"/>
      <c r="J8" s="10"/>
    </row>
    <row r="9" customFormat="false" ht="15" hidden="false" customHeight="false" outlineLevel="0" collapsed="false">
      <c r="A9" s="6"/>
      <c r="B9" s="22" t="s">
        <v>5</v>
      </c>
      <c r="C9" s="23"/>
      <c r="D9" s="24"/>
      <c r="E9" s="25"/>
      <c r="F9" s="24"/>
      <c r="G9" s="24"/>
      <c r="H9" s="25"/>
      <c r="I9" s="9" t="str">
        <f aca="false">IF(ISNUMBER(IFERROR(VLOOKUP(B9,'MOSFET Reference Table'!$A:$E,5,0)*1,0)),"","⚠ LDMOS/no Rds(on) — efficiency model INACTIVE for this device. C86 returns input η (C20) unchanged; no loss calculation is performed. Verify η from manufacturer datasheet or LTspice simulation.")</f>
        <v/>
      </c>
      <c r="J9" s="10"/>
    </row>
    <row r="10" customFormat="false" ht="15" hidden="false" customHeight="false" outlineLevel="0" collapsed="false">
      <c r="A10" s="6"/>
      <c r="B10" s="26" t="s">
        <v>6</v>
      </c>
      <c r="C10" s="27"/>
      <c r="D10" s="28"/>
      <c r="E10" s="12"/>
      <c r="F10" s="13"/>
      <c r="G10" s="13"/>
      <c r="H10" s="12"/>
      <c r="I10" s="9"/>
      <c r="J10" s="10"/>
    </row>
    <row r="11" customFormat="false" ht="15" hidden="false" customHeight="false" outlineLevel="0" collapsed="false">
      <c r="A11" s="6"/>
      <c r="B11" s="29" t="n">
        <f aca="false">C84</f>
        <v>53.43</v>
      </c>
      <c r="C11" s="30"/>
      <c r="D11" s="13"/>
      <c r="E11" s="12"/>
      <c r="F11" s="13"/>
      <c r="G11" s="13"/>
      <c r="H11" s="12"/>
      <c r="I11" s="9"/>
      <c r="J11" s="10"/>
    </row>
    <row r="12" customFormat="false" ht="15" hidden="false" customHeight="false" outlineLevel="0" collapsed="false">
      <c r="A12" s="6"/>
      <c r="B12" s="31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 OK","✅ V_DSS OK | ⚠ I_D="&amp;TEXT(IFERROR(VLOOKUP(B9,'MOSFET Reference Table'!$A:$D,4,0),"?"),"0.0")&amp;"A &lt; I_pk="&amp;TEXT(C86,"0.00")&amp;"A"))</f>
        <v>✅ V_DSS OK | I_D OK</v>
      </c>
      <c r="C12" s="30"/>
      <c r="D12" s="13"/>
      <c r="E12" s="12"/>
      <c r="F12" s="13"/>
      <c r="G12" s="13"/>
      <c r="H12" s="12"/>
      <c r="I12" s="9"/>
      <c r="J12" s="10"/>
    </row>
    <row r="13" customFormat="false" ht="15" hidden="false" customHeight="false" outlineLevel="0" collapsed="false">
      <c r="A13" s="6"/>
      <c r="B13" s="24"/>
      <c r="C13" s="30"/>
      <c r="D13" s="13"/>
      <c r="E13" s="12"/>
      <c r="F13" s="13"/>
      <c r="G13" s="13"/>
      <c r="H13" s="12"/>
      <c r="I13" s="9"/>
      <c r="J13" s="10"/>
    </row>
    <row r="14" customFormat="false" ht="15" hidden="false" customHeight="false" outlineLevel="0" collapsed="false">
      <c r="A14" s="6"/>
      <c r="B14" s="32" t="s">
        <v>7</v>
      </c>
      <c r="C14" s="33"/>
      <c r="D14" s="34"/>
      <c r="E14" s="35"/>
      <c r="F14" s="31"/>
      <c r="G14" s="31"/>
      <c r="H14" s="8"/>
      <c r="I14" s="9"/>
      <c r="J14" s="10"/>
    </row>
    <row r="15" customFormat="false" ht="15" hidden="false" customHeight="false" outlineLevel="0" collapsed="false">
      <c r="A15" s="6"/>
      <c r="B15" s="36" t="s">
        <v>8</v>
      </c>
      <c r="C15" s="37" t="s">
        <v>9</v>
      </c>
      <c r="D15" s="38" t="s">
        <v>10</v>
      </c>
      <c r="E15" s="37"/>
      <c r="F15" s="39"/>
      <c r="G15" s="38"/>
      <c r="H15" s="40"/>
      <c r="I15" s="41"/>
      <c r="J15" s="10"/>
    </row>
    <row r="16" customFormat="false" ht="15" hidden="false" customHeight="false" outlineLevel="0" collapsed="false">
      <c r="A16" s="6"/>
      <c r="B16" s="42" t="s">
        <v>11</v>
      </c>
      <c r="C16" s="43" t="n">
        <v>5</v>
      </c>
      <c r="D16" s="31" t="s">
        <v>12</v>
      </c>
      <c r="E16" s="44"/>
      <c r="F16" s="42"/>
      <c r="G16" s="45"/>
      <c r="H16" s="8"/>
      <c r="I16" s="9"/>
      <c r="J16" s="10"/>
    </row>
    <row r="17" customFormat="false" ht="15" hidden="false" customHeight="false" outlineLevel="0" collapsed="false">
      <c r="A17" s="6"/>
      <c r="B17" s="42" t="s">
        <v>13</v>
      </c>
      <c r="C17" s="43" t="n">
        <v>0.4</v>
      </c>
      <c r="D17" s="31" t="s">
        <v>14</v>
      </c>
      <c r="E17" s="44"/>
      <c r="F17" s="42"/>
      <c r="G17" s="45"/>
      <c r="H17" s="8"/>
      <c r="I17" s="9"/>
      <c r="J17" s="10"/>
    </row>
    <row r="18" customFormat="false" ht="27.6" hidden="false" customHeight="false" outlineLevel="0" collapsed="false">
      <c r="A18" s="6"/>
      <c r="B18" s="42" t="s">
        <v>15</v>
      </c>
      <c r="C18" s="43" t="n">
        <v>7</v>
      </c>
      <c r="D18" s="31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0.007 MHz</v>
      </c>
      <c r="F18" s="42"/>
      <c r="G18" s="45"/>
      <c r="H18" s="8"/>
      <c r="I18" s="8"/>
      <c r="J18" s="10"/>
    </row>
    <row r="19" customFormat="false" ht="53.7" hidden="false" customHeight="false" outlineLevel="0" collapsed="false">
      <c r="A19" s="6"/>
      <c r="B19" s="42" t="s">
        <v>17</v>
      </c>
      <c r="C19" s="43" t="n">
        <v>5</v>
      </c>
      <c r="D19" s="31" t="s">
        <v>18</v>
      </c>
      <c r="E19" s="44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42"/>
      <c r="G19" s="45"/>
      <c r="H19" s="8"/>
      <c r="I19" s="46"/>
      <c r="J19" s="10"/>
    </row>
    <row r="20" customFormat="false" ht="15" hidden="false" customHeight="false" outlineLevel="0" collapsed="false">
      <c r="A20" s="6"/>
      <c r="B20" s="42" t="s">
        <v>19</v>
      </c>
      <c r="C20" s="43" t="n">
        <v>0</v>
      </c>
      <c r="D20" s="31" t="s">
        <v>12</v>
      </c>
      <c r="E20" s="44"/>
      <c r="F20" s="42"/>
      <c r="G20" s="45"/>
      <c r="H20" s="42"/>
      <c r="I20" s="9"/>
      <c r="J20" s="10"/>
    </row>
    <row r="21" customFormat="false" ht="105.75" hidden="false" customHeight="false" outlineLevel="0" collapsed="false">
      <c r="A21" s="6"/>
      <c r="B21" s="42" t="s">
        <v>20</v>
      </c>
      <c r="C21" s="43" t="n">
        <v>0.92</v>
      </c>
      <c r="D21" s="31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C86="&amp;TEXT(C88,"0.0%")&amp;". C86 is always used — C21 is informational only.","✅ η analytical (C86) — no iteration required. C21 is informational."),"⚠ C86 not numeric — check MOSFET table"))</f>
        <v>ℹ C21=92% differs from analytical C86=80%. C86 is always used — C21 is informational only.</v>
      </c>
      <c r="F21" s="42"/>
      <c r="G21" s="45"/>
      <c r="H21" s="8"/>
      <c r="I21" s="9"/>
      <c r="J21" s="10"/>
    </row>
    <row r="22" customFormat="false" ht="66.75" hidden="false" customHeight="false" outlineLevel="0" collapsed="false">
      <c r="A22" s="6"/>
      <c r="B22" s="42" t="s">
        <v>21</v>
      </c>
      <c r="C22" s="43" t="n">
        <v>0.05</v>
      </c>
      <c r="D22" s="31" t="s">
        <v>22</v>
      </c>
      <c r="E22" s="8"/>
      <c r="F22" s="8" t="s">
        <v>23</v>
      </c>
      <c r="G22" s="45"/>
      <c r="H22" s="8"/>
      <c r="I22" s="9"/>
      <c r="J22" s="10"/>
    </row>
    <row r="23" customFormat="false" ht="40.5" hidden="false" customHeight="false" outlineLevel="0" collapsed="false">
      <c r="A23" s="6"/>
      <c r="B23" s="42" t="s">
        <v>24</v>
      </c>
      <c r="C23" s="43" t="n">
        <v>0.1</v>
      </c>
      <c r="D23" s="31" t="s">
        <v>22</v>
      </c>
      <c r="E23" s="8"/>
      <c r="F23" s="8" t="s">
        <v>25</v>
      </c>
      <c r="G23" s="45"/>
      <c r="H23" s="8" t="str">
        <f aca="false">IF(AND(ISNUMBER(C23),ISNUMBER(C43),C16-C35&gt;0),IF(ABS(C23*C43/(C16-C35)-0.01)&gt;0.005,"⚠ RFC actual loss="&amp;TEXT(C23*C43/(C16-C35)*100,"0.0")&amp;"% vs Sokal fixed 1% (−0.01 term). Δη="&amp;TEXT(C23*C43/(C16-C35)-0.01,"0.000")&amp;". Adjust input η (C20) accordingly.","✅ RFC loss≈"&amp;TEXT(C23*C43/(C16-C35)*100,"0.0")&amp;"% — Sokal −0.01 fixed term accurate."),"—")</f>
        <v>⚠ RFC actual loss=00% vs Sokal fixed 1% (−0.01 term). Δη=0.000. Adjust input η (C20) accordingly.</v>
      </c>
      <c r="I23" s="9"/>
      <c r="J23" s="10"/>
    </row>
    <row r="24" customFormat="false" ht="15" hidden="false" customHeight="false" outlineLevel="0" collapsed="false">
      <c r="A24" s="6"/>
      <c r="B24" s="42" t="s">
        <v>26</v>
      </c>
      <c r="C24" s="43" t="n">
        <v>50</v>
      </c>
      <c r="D24" s="31" t="s">
        <v>22</v>
      </c>
      <c r="E24" s="8"/>
      <c r="F24" s="42"/>
      <c r="G24" s="45"/>
      <c r="H24" s="8"/>
      <c r="I24" s="9"/>
      <c r="J24" s="10"/>
    </row>
    <row r="25" customFormat="false" ht="15" hidden="false" customHeight="false" outlineLevel="0" collapsed="false">
      <c r="A25" s="6"/>
      <c r="B25" s="42" t="s">
        <v>27</v>
      </c>
      <c r="C25" s="43" t="n">
        <v>50</v>
      </c>
      <c r="D25" s="31" t="s">
        <v>22</v>
      </c>
      <c r="E25" s="8"/>
      <c r="F25" s="42"/>
      <c r="G25" s="45"/>
      <c r="H25" s="8"/>
      <c r="I25" s="9"/>
      <c r="J25" s="10"/>
    </row>
    <row r="26" customFormat="false" ht="53.7" hidden="false" customHeight="false" outlineLevel="0" collapsed="false">
      <c r="A26" s="6"/>
      <c r="B26" s="47" t="s">
        <v>28</v>
      </c>
      <c r="C26" s="43" t="n">
        <v>0.5</v>
      </c>
      <c r="D26" s="31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42"/>
      <c r="G26" s="45"/>
      <c r="H26" s="8"/>
      <c r="I26" s="9"/>
      <c r="J26" s="10"/>
    </row>
    <row r="27" customFormat="false" ht="15" hidden="false" customHeight="false" outlineLevel="0" collapsed="false">
      <c r="A27" s="6"/>
      <c r="B27" s="42" t="s">
        <v>29</v>
      </c>
      <c r="C27" s="43" t="n">
        <f aca="false">IFERROR(IF(B9="-- Select MOSFET --",100,VLOOKUP(B9,'MOSFET Reference Table'!$A:$F,6,0)),100)</f>
        <v>60</v>
      </c>
      <c r="D27" s="31" t="s">
        <v>30</v>
      </c>
      <c r="E27" s="8"/>
      <c r="F27" s="42"/>
      <c r="G27" s="45"/>
      <c r="H27" s="8"/>
      <c r="I27" s="9"/>
      <c r="J27" s="10"/>
    </row>
    <row r="28" customFormat="false" ht="15" hidden="false" customHeight="false" outlineLevel="0" collapsed="false">
      <c r="A28" s="6"/>
      <c r="B28" s="42" t="s">
        <v>31</v>
      </c>
      <c r="C28" s="43" t="n">
        <v>10</v>
      </c>
      <c r="D28" s="31" t="s">
        <v>22</v>
      </c>
      <c r="E28" s="8"/>
      <c r="F28" s="42"/>
      <c r="G28" s="45"/>
      <c r="H28" s="8"/>
      <c r="I28" s="9"/>
      <c r="J28" s="10"/>
    </row>
    <row r="29" customFormat="false" ht="15" hidden="false" customHeight="false" outlineLevel="0" collapsed="false">
      <c r="A29" s="6"/>
      <c r="B29" s="42" t="s">
        <v>32</v>
      </c>
      <c r="C29" s="43" t="n">
        <v>25</v>
      </c>
      <c r="D29" s="31" t="s">
        <v>33</v>
      </c>
      <c r="E29" s="8"/>
      <c r="F29" s="8"/>
      <c r="G29" s="9"/>
      <c r="H29" s="8"/>
      <c r="I29" s="9"/>
      <c r="J29" s="10"/>
    </row>
    <row r="30" customFormat="false" ht="15" hidden="false" customHeight="false" outlineLevel="0" collapsed="false">
      <c r="A30" s="6"/>
      <c r="B30" s="42" t="s">
        <v>34</v>
      </c>
      <c r="C30" s="43" t="n">
        <v>0.01</v>
      </c>
      <c r="D30" s="31" t="s">
        <v>22</v>
      </c>
      <c r="E30" s="8"/>
      <c r="F30" s="8"/>
      <c r="G30" s="9"/>
      <c r="H30" s="8"/>
      <c r="I30" s="9"/>
      <c r="J30" s="10"/>
    </row>
    <row r="31" customFormat="false" ht="15" hidden="false" customHeight="false" outlineLevel="0" collapsed="false">
      <c r="A31" s="6"/>
      <c r="B31" s="42" t="s">
        <v>35</v>
      </c>
      <c r="C31" s="43" t="n">
        <v>0.01</v>
      </c>
      <c r="D31" s="31" t="s">
        <v>22</v>
      </c>
      <c r="E31" s="8"/>
      <c r="F31" s="8"/>
      <c r="G31" s="9"/>
      <c r="H31" s="8"/>
      <c r="I31" s="9"/>
      <c r="J31" s="10"/>
    </row>
    <row r="32" customFormat="false" ht="15" hidden="false" customHeight="false" outlineLevel="0" collapsed="false">
      <c r="A32" s="6"/>
      <c r="B32" s="42" t="s">
        <v>36</v>
      </c>
      <c r="C32" s="43" t="n">
        <f aca="false">IFERROR(VLOOKUP(B9,'MOSFET Reference Table'!$A:$G,7,0),0)</f>
        <v>12</v>
      </c>
      <c r="D32" s="31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(C29) will be over-estimated. Add device to the MOSFET Reference Table.","")</f>
        <v/>
      </c>
      <c r="I32" s="9"/>
      <c r="J32" s="10"/>
    </row>
    <row r="33" customFormat="false" ht="53.7" hidden="false" customHeight="false" outlineLevel="0" collapsed="false">
      <c r="A33" s="6"/>
      <c r="B33" s="42" t="s">
        <v>37</v>
      </c>
      <c r="C33" s="48" t="n">
        <f aca="false">MAX(C49-C32*$C$36,0)</f>
        <v>151.062361810011</v>
      </c>
      <c r="D33" s="31" t="s">
        <v>30</v>
      </c>
      <c r="E33" s="8"/>
      <c r="F33" s="8"/>
      <c r="G33" s="9"/>
      <c r="H33" s="8"/>
      <c r="I33" s="9"/>
      <c r="J33" s="10"/>
    </row>
    <row r="34" customFormat="false" ht="15" hidden="false" customHeight="false" outlineLevel="0" collapsed="false">
      <c r="A34" s="6"/>
      <c r="B34" s="42" t="s">
        <v>38</v>
      </c>
      <c r="C34" s="43" t="n">
        <v>0</v>
      </c>
      <c r="D34" s="31" t="s">
        <v>39</v>
      </c>
      <c r="E34" s="8"/>
      <c r="F34" s="8"/>
      <c r="G34" s="9"/>
      <c r="H34" s="8"/>
      <c r="I34" s="9"/>
      <c r="J34" s="10"/>
    </row>
    <row r="35" customFormat="false" ht="15" hidden="false" customHeight="false" outlineLevel="0" collapsed="false">
      <c r="A35" s="6"/>
      <c r="B35" s="42" t="s">
        <v>40</v>
      </c>
      <c r="C35" s="43" t="n">
        <v>0</v>
      </c>
      <c r="D35" s="31" t="s">
        <v>12</v>
      </c>
      <c r="E35" s="8"/>
      <c r="F35" s="8"/>
      <c r="G35" s="9"/>
      <c r="H35" s="8"/>
      <c r="I35" s="9"/>
      <c r="J35" s="10"/>
    </row>
    <row r="36" customFormat="false" ht="105.75" hidden="false" customHeight="false" outlineLevel="0" collapsed="false">
      <c r="A36" s="6"/>
      <c r="B36" s="42" t="s">
        <v>41</v>
      </c>
      <c r="C36" s="43" t="n">
        <f aca="false">IFERROR(VLOOKUP(B9,'MOSFET Reference Table'!$A:$O,15,0),0.35)</f>
        <v>0.4</v>
      </c>
      <c r="D36" s="31" t="s">
        <v>18</v>
      </c>
      <c r="E36" s="8"/>
      <c r="F36" s="8" t="s">
        <v>42</v>
      </c>
      <c r="G36" s="9"/>
      <c r="H36" s="8" t="s">
        <v>43</v>
      </c>
      <c r="I36" s="9" t="n">
        <f aca="false">IFERROR(IF(VLOOKUP(B9,'MOSFET Reference Table'!$A:$P,16,0)="Si-planar",0.45,IF(VLOOKUP(B9,'MOSFET Reference Table'!$A:$P,16,0)="Si-DMOS",0.35,IF(VLOOKUP(B9,'MOSFET Reference Table'!$A:$P,16,0)="LDMOS",0.08,IF(VLOOKUP(B9,'MOSFET Reference Table'!$A:$P,16,0)="GaN",0.05,0.25)))),0.25)</f>
        <v>0.45</v>
      </c>
      <c r="J36" s="10"/>
    </row>
    <row r="37" customFormat="false" ht="27.6" hidden="false" customHeight="false" outlineLevel="0" collapsed="false">
      <c r="A37" s="6"/>
      <c r="B37" s="42" t="s">
        <v>44</v>
      </c>
      <c r="C37" s="43" t="n">
        <v>3</v>
      </c>
      <c r="D37" s="31" t="s">
        <v>18</v>
      </c>
      <c r="E37" s="8"/>
      <c r="F37" s="8" t="s">
        <v>45</v>
      </c>
      <c r="G37" s="9"/>
      <c r="H37" s="8"/>
      <c r="I37" s="9"/>
      <c r="J37" s="10"/>
    </row>
    <row r="38" customFormat="false" ht="15" hidden="false" customHeight="false" outlineLevel="0" collapsed="false">
      <c r="A38" s="6"/>
      <c r="B38" s="42"/>
      <c r="C38" s="43"/>
      <c r="D38" s="31"/>
      <c r="E38" s="8"/>
      <c r="F38" s="8"/>
      <c r="G38" s="9"/>
      <c r="H38" s="8"/>
      <c r="I38" s="9"/>
      <c r="J38" s="10"/>
    </row>
    <row r="39" customFormat="false" ht="15.65" hidden="false" customHeight="false" outlineLevel="0" collapsed="false">
      <c r="A39" s="6"/>
      <c r="B39" s="49" t="s">
        <v>46</v>
      </c>
      <c r="C39" s="49"/>
      <c r="D39" s="34"/>
      <c r="E39" s="35"/>
      <c r="F39" s="49" t="str">
        <f aca="false">IF(NOT(ISNUMBER(C42)),"—",IF(0.576801*(1.0000086-0.414395/C19-0.577501/C19^2+0.205967/C19^3)*(C16-C35-C20)^2&lt;4*(C22+C30+1.365*IFERROR(VLOOKUP(B9,'MOSFET Reference Table'!$A:$E,5,0)*1,0)+0.2116*C31)*C17,"🚨 INFEASIBLE: Device losses exceed theoretical maximum for this operating point.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50"/>
      <c r="H39" s="8"/>
      <c r="I39" s="9"/>
      <c r="J39" s="10"/>
    </row>
    <row r="40" customFormat="false" ht="15" hidden="false" customHeight="false" outlineLevel="0" collapsed="false">
      <c r="A40" s="6"/>
      <c r="B40" s="36" t="s">
        <v>8</v>
      </c>
      <c r="C40" s="37" t="s">
        <v>9</v>
      </c>
      <c r="D40" s="38" t="s">
        <v>10</v>
      </c>
      <c r="E40" s="37"/>
      <c r="F40" s="39" t="s">
        <v>47</v>
      </c>
      <c r="G40" s="39"/>
      <c r="H40" s="40"/>
      <c r="I40" s="41"/>
      <c r="J40" s="10"/>
    </row>
    <row r="41" customFormat="false" ht="15" hidden="false" customHeight="false" outlineLevel="0" collapsed="false">
      <c r="A41" s="6"/>
      <c r="B41" s="42" t="s">
        <v>48</v>
      </c>
      <c r="C41" s="51" t="n">
        <f aca="false">2*PI()*C18*1000000</f>
        <v>43982297.1502571</v>
      </c>
      <c r="D41" s="31" t="s">
        <v>49</v>
      </c>
      <c r="E41" s="44"/>
      <c r="F41" s="35" t="s">
        <v>50</v>
      </c>
      <c r="G41" s="9"/>
      <c r="H41" s="8"/>
      <c r="I41" s="9"/>
      <c r="J41" s="10"/>
    </row>
    <row r="42" customFormat="false" ht="66.75" hidden="false" customHeight="false" outlineLevel="0" collapsed="false">
      <c r="A42" s="6"/>
      <c r="B42" s="42" t="s">
        <v>51</v>
      </c>
      <c r="C42" s="51" t="n">
        <f aca="false">IF(C19&lt;1.7879,"⚠ QL&lt;min (1.7879)",(C44^2/C17)*0.576801*(1.0000086-0.414395/C19-0.577501/C19^2+0.205967/C19^3))</f>
        <v>32.289222500631</v>
      </c>
      <c r="D42" s="31" t="s">
        <v>22</v>
      </c>
      <c r="E42" s="44"/>
      <c r="F42" s="35" t="s">
        <v>52</v>
      </c>
      <c r="G42" s="9"/>
      <c r="H42" s="8"/>
      <c r="I42" s="9"/>
      <c r="J42" s="10"/>
    </row>
    <row r="43" customFormat="false" ht="27.6" hidden="false" customHeight="false" outlineLevel="0" collapsed="false">
      <c r="A43" s="6"/>
      <c r="B43" s="42" t="s">
        <v>53</v>
      </c>
      <c r="C43" s="51" t="n">
        <f aca="false">C17/((C16-C35)*IF(ISNUMBER(C88),C88,C21))</f>
        <v>0.0997383502252442</v>
      </c>
      <c r="D43" s="31" t="s">
        <v>54</v>
      </c>
      <c r="E43" s="44"/>
      <c r="F43" s="35" t="s">
        <v>55</v>
      </c>
      <c r="G43" s="9"/>
      <c r="H43" s="8"/>
      <c r="I43" s="9"/>
      <c r="J43" s="10"/>
    </row>
    <row r="44" customFormat="false" ht="27.6" hidden="false" customHeight="false" outlineLevel="0" collapsed="false">
      <c r="A44" s="6"/>
      <c r="B44" s="42" t="s">
        <v>56</v>
      </c>
      <c r="C44" s="51" t="n">
        <f aca="false">C16-C35-C20</f>
        <v>5</v>
      </c>
      <c r="D44" s="31" t="s">
        <v>12</v>
      </c>
      <c r="E44" s="44"/>
      <c r="F44" s="35" t="s">
        <v>57</v>
      </c>
      <c r="G44" s="9"/>
      <c r="H44" s="8"/>
      <c r="I44" s="9"/>
      <c r="J44" s="10"/>
    </row>
    <row r="45" customFormat="false" ht="15" hidden="false" customHeight="false" outlineLevel="0" collapsed="false">
      <c r="A45" s="6"/>
      <c r="B45" s="7"/>
      <c r="C45" s="7"/>
      <c r="D45" s="6"/>
      <c r="E45" s="52"/>
      <c r="F45" s="9"/>
      <c r="G45" s="9"/>
      <c r="H45" s="8"/>
      <c r="I45" s="9"/>
      <c r="J45" s="10"/>
    </row>
    <row r="46" customFormat="false" ht="15.65" hidden="false" customHeight="false" outlineLevel="0" collapsed="false">
      <c r="A46" s="6"/>
      <c r="B46" s="49" t="s">
        <v>58</v>
      </c>
      <c r="C46" s="33"/>
      <c r="D46" s="34"/>
      <c r="E46" s="44"/>
      <c r="F46" s="31"/>
      <c r="G46" s="31"/>
      <c r="H46" s="8"/>
      <c r="I46" s="9"/>
      <c r="J46" s="10"/>
    </row>
    <row r="47" customFormat="false" ht="15" hidden="false" customHeight="false" outlineLevel="0" collapsed="false">
      <c r="A47" s="6"/>
      <c r="B47" s="36" t="s">
        <v>8</v>
      </c>
      <c r="C47" s="37" t="s">
        <v>9</v>
      </c>
      <c r="D47" s="38" t="s">
        <v>10</v>
      </c>
      <c r="E47" s="37" t="s">
        <v>59</v>
      </c>
      <c r="F47" s="39" t="s">
        <v>47</v>
      </c>
      <c r="G47" s="53"/>
      <c r="H47" s="40"/>
      <c r="I47" s="41"/>
      <c r="J47" s="10"/>
    </row>
    <row r="48" customFormat="false" ht="105.75" hidden="false" customHeight="false" outlineLevel="0" collapsed="false">
      <c r="A48" s="6"/>
      <c r="B48" s="42" t="s">
        <v>60</v>
      </c>
      <c r="C48" s="51" t="n">
        <f aca="false">IF(C19&lt;1.7879,"⚠ QL&lt;min",(0.99866+0.91424/C19-1.03175/C19^2)/(5.4466*C41*C42)+0.6/(C41^2*C54))</f>
        <v>1.55862361810011E-010</v>
      </c>
      <c r="D48" s="31" t="s">
        <v>61</v>
      </c>
      <c r="E48" s="52"/>
      <c r="F48" s="35" t="s">
        <v>62</v>
      </c>
      <c r="G48" s="9"/>
      <c r="H48" s="8"/>
      <c r="I48" s="9"/>
      <c r="J48" s="10"/>
    </row>
    <row r="49" customFormat="false" ht="15" hidden="false" customHeight="false" outlineLevel="0" collapsed="false">
      <c r="A49" s="6"/>
      <c r="B49" s="42" t="s">
        <v>63</v>
      </c>
      <c r="C49" s="51" t="n">
        <f aca="false">C48*1000000000000</f>
        <v>155.862361810011</v>
      </c>
      <c r="D49" s="31" t="s">
        <v>30</v>
      </c>
      <c r="E49" s="54" t="str">
        <f aca="false">IFERROR(IF(ISNUMBER(C49),TEXT(10^INT(LOG10(ABS(C49)+1E-030))*CHOOSE(MATCH(C49/10^INT(LOG10(ABS(C49)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"&amp;D49,C49),"—")</f>
        <v>160 pF</v>
      </c>
      <c r="F49" s="35" t="s">
        <v>64</v>
      </c>
      <c r="G49" s="50"/>
      <c r="H49" s="8"/>
      <c r="I49" s="9"/>
      <c r="J49" s="10"/>
    </row>
    <row r="50" customFormat="false" ht="27.6" hidden="false" customHeight="false" outlineLevel="0" collapsed="false">
      <c r="A50" s="6"/>
      <c r="B50" s="42" t="s">
        <v>65</v>
      </c>
      <c r="C50" s="51" t="n">
        <f aca="false">IF(C19&lt;1.7879,"⚠ QL&lt;min (1.7879) — L2 invalid",C19*C42/C41)</f>
        <v>3.67070669254962E-006</v>
      </c>
      <c r="D50" s="31" t="s">
        <v>66</v>
      </c>
      <c r="E50" s="55"/>
      <c r="F50" s="35" t="s">
        <v>67</v>
      </c>
      <c r="G50" s="9"/>
      <c r="H50" s="8"/>
      <c r="I50" s="9"/>
      <c r="J50" s="10"/>
    </row>
    <row r="51" customFormat="false" ht="15" hidden="false" customHeight="false" outlineLevel="0" collapsed="false">
      <c r="A51" s="6"/>
      <c r="B51" s="42" t="s">
        <v>68</v>
      </c>
      <c r="C51" s="51" t="n">
        <f aca="false">C50*1000000</f>
        <v>3.67070669254962</v>
      </c>
      <c r="D51" s="31" t="s">
        <v>69</v>
      </c>
      <c r="E51" s="54" t="str">
        <f aca="false">IFERROR(IF(ISNUMBER(C51),TEXT(10^INT(LOG10(ABS(C51)+1E-030))*CHOOSE(MATCH(C51/10^INT(LOG10(ABS(C51)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"&amp;D51,C51),"—")</f>
        <v>04 µH</v>
      </c>
      <c r="F51" s="35" t="s">
        <v>70</v>
      </c>
      <c r="G51" s="9"/>
      <c r="H51" s="8"/>
      <c r="I51" s="9"/>
      <c r="J51" s="10"/>
    </row>
    <row r="52" customFormat="false" ht="40.5" hidden="false" customHeight="false" outlineLevel="0" collapsed="false">
      <c r="A52" s="6"/>
      <c r="B52" s="42" t="s">
        <v>71</v>
      </c>
      <c r="C52" s="51" t="n">
        <f aca="false">IF(C19&lt;1.7879,"⚠ QL&lt;min",IF((1/(C41*C42))*(1/(C19-0.104823))*(1.00121+1.01468/(C19-1.7879))-0.2/(C41^2*C54)&lt;0,"⚠ C2 = 0: RFC correction exceeds base C2 at this QL — omitting C2 destroys Class-E operation. Increase QL or reduce RFC inductance.",(1/(C41*C42))*(1/(C19-0.104823))*(1.00121+1.01468/(C19-1.7879))-0.2/(C41^2*C54)))</f>
        <v>1.86642671516552E-010</v>
      </c>
      <c r="D52" s="31" t="s">
        <v>61</v>
      </c>
      <c r="E52" s="55" t="str">
        <f aca="false">IF(ISNUMBER(C19),IF(C19&lt;1.7879,"⚠ QL below minimum (1.7879) — formula invalid",IF(C19&lt;1.9,"⚠ QL very close to minimum (1.7879) — verify with LTspice before building","")),"")</f>
        <v/>
      </c>
      <c r="F52" s="35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9"/>
      <c r="J52" s="10"/>
    </row>
    <row r="53" customFormat="false" ht="15" hidden="false" customHeight="false" outlineLevel="0" collapsed="false">
      <c r="A53" s="6"/>
      <c r="B53" s="42" t="s">
        <v>72</v>
      </c>
      <c r="C53" s="51" t="n">
        <f aca="false">IF(ISNUMBER(C52),C52*1000000000000,C52)</f>
        <v>186.642671516552</v>
      </c>
      <c r="D53" s="31" t="s">
        <v>30</v>
      </c>
      <c r="E53" s="54" t="str">
        <f aca="false">IFERROR(IF(ISNUMBER(C53),TEXT(10^INT(LOG10(ABS(C53)+1E-030))*CHOOSE(MATCH(C53/10^INT(LOG10(ABS(C53)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"&amp;D53,C53),"—")</f>
        <v>180 pF</v>
      </c>
      <c r="F53" s="35" t="s">
        <v>73</v>
      </c>
      <c r="G53" s="9"/>
      <c r="H53" s="8"/>
      <c r="I53" s="9"/>
      <c r="J53" s="10"/>
    </row>
    <row r="54" customFormat="false" ht="15" hidden="false" customHeight="false" outlineLevel="0" collapsed="false">
      <c r="A54" s="6"/>
      <c r="B54" s="42" t="s">
        <v>74</v>
      </c>
      <c r="C54" s="51" t="n">
        <f aca="false">50*C42/C41</f>
        <v>3.67070669254962E-005</v>
      </c>
      <c r="D54" s="31" t="s">
        <v>66</v>
      </c>
      <c r="E54" s="55"/>
      <c r="F54" s="35" t="s">
        <v>75</v>
      </c>
      <c r="G54" s="9"/>
      <c r="H54" s="8"/>
      <c r="I54" s="9"/>
      <c r="J54" s="10"/>
    </row>
    <row r="55" customFormat="false" ht="105.75" hidden="false" customHeight="false" outlineLevel="0" collapsed="false">
      <c r="A55" s="6"/>
      <c r="B55" s="42" t="s">
        <v>76</v>
      </c>
      <c r="C55" s="51" t="n">
        <f aca="false">C54*1000000</f>
        <v>36.7070669254962</v>
      </c>
      <c r="D55" s="31" t="s">
        <v>69</v>
      </c>
      <c r="E55" s="54" t="str">
        <f aca="false">IFERROR(IF(ISNUMBER(C55),TEXT(10^INT(LOG10(ABS(C55)+1E-030))*CHOOSE(MATCH(C55/10^INT(LOG10(ABS(C55)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"&amp;D55,C55),"—")</f>
        <v>036 µH</v>
      </c>
      <c r="F55" s="35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(C39). Sokal QEX 2001: choke reactance ≥ 30×R; RFC (C51)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0.000 A (C39). Sokal QEX 2001: choke reactance ≥ 30×R; RFC (C51) uses 50×R/ω for margin.</v>
      </c>
      <c r="G55" s="9"/>
      <c r="H55" s="8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9"/>
      <c r="J55" s="10"/>
    </row>
    <row r="56" customFormat="false" ht="40.5" hidden="false" customHeight="false" outlineLevel="0" collapsed="false">
      <c r="A56" s="6"/>
      <c r="B56" s="42" t="s">
        <v>77</v>
      </c>
      <c r="C56" s="51" t="n">
        <f aca="false">IF(C19&lt;1.7879,"⚠ QL&lt;min",IF(NOT(ISNUMBER(C52)),"⚠ C2 invalid",C50-1/(C52*C41^2)))</f>
        <v>9.01003439261812E-007</v>
      </c>
      <c r="D56" s="31" t="s">
        <v>66</v>
      </c>
      <c r="E56" s="55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OK")),"")</f>
        <v>✅ L_ser&gt;0 OK</v>
      </c>
      <c r="F56" s="35" t="s">
        <v>78</v>
      </c>
      <c r="G56" s="9"/>
      <c r="H56" s="8"/>
      <c r="I56" s="9"/>
      <c r="J56" s="10"/>
    </row>
    <row r="57" customFormat="false" ht="40.5" hidden="false" customHeight="false" outlineLevel="0" collapsed="false">
      <c r="A57" s="6"/>
      <c r="B57" s="42" t="s">
        <v>79</v>
      </c>
      <c r="C57" s="51" t="n">
        <f aca="false">IF(ISNUMBER(C56),C56*1000000,C56)</f>
        <v>0.901003439261812</v>
      </c>
      <c r="D57" s="31" t="s">
        <v>69</v>
      </c>
      <c r="E57" s="54"/>
      <c r="F57" s="35" t="s">
        <v>80</v>
      </c>
      <c r="G57" s="9"/>
      <c r="H57" s="8"/>
      <c r="I57" s="9"/>
      <c r="J57" s="10"/>
    </row>
    <row r="58" customFormat="false" ht="53.7" hidden="false" customHeight="false" outlineLevel="0" collapsed="false">
      <c r="A58" s="6"/>
      <c r="B58" s="42" t="s">
        <v>81</v>
      </c>
      <c r="C58" s="51" t="n">
        <f aca="false">IF(C19&lt;1.7879,"⚠ QL&lt;min",IF(NOT(ISNUMBER(C52)),"⚠ C2 invalid — check QL/frequency",C50))</f>
        <v>3.67070669254962E-006</v>
      </c>
      <c r="D58" s="31" t="s">
        <v>66</v>
      </c>
      <c r="E58" s="55"/>
      <c r="F58" s="35" t="s">
        <v>82</v>
      </c>
      <c r="G58" s="9"/>
      <c r="H58" s="8"/>
      <c r="I58" s="9"/>
      <c r="J58" s="10"/>
    </row>
    <row r="59" customFormat="false" ht="27.6" hidden="false" customHeight="false" outlineLevel="0" collapsed="false">
      <c r="A59" s="6"/>
      <c r="B59" s="42" t="s">
        <v>83</v>
      </c>
      <c r="C59" s="51" t="n">
        <f aca="false">IF(ISNUMBER(C58),C58*1000000,C58)</f>
        <v>3.67070669254962</v>
      </c>
      <c r="D59" s="31" t="s">
        <v>69</v>
      </c>
      <c r="E59" s="54" t="str">
        <f aca="false">IFERROR(IF(ISNUMBER(C59),TEXT(10^INT(LOG10(ABS(C59)+1E-030))*CHOOSE(MATCH(C59/10^INT(LOG10(ABS(C59)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"&amp;D59,C59),"—")</f>
        <v>04 µH</v>
      </c>
      <c r="F59" s="35" t="s">
        <v>84</v>
      </c>
      <c r="G59" s="9"/>
      <c r="H59" s="8"/>
      <c r="I59" s="9"/>
      <c r="J59" s="10"/>
    </row>
    <row r="60" customFormat="false" ht="15" hidden="false" customHeight="false" outlineLevel="0" collapsed="false">
      <c r="A60" s="6"/>
      <c r="B60" s="7"/>
      <c r="C60" s="7"/>
      <c r="D60" s="6"/>
      <c r="E60" s="52"/>
      <c r="F60" s="9"/>
      <c r="G60" s="9"/>
      <c r="H60" s="8"/>
      <c r="I60" s="9"/>
      <c r="J60" s="10"/>
    </row>
    <row r="61" customFormat="false" ht="15.65" hidden="false" customHeight="false" outlineLevel="0" collapsed="false">
      <c r="A61" s="6"/>
      <c r="B61" s="49" t="s">
        <v>85</v>
      </c>
      <c r="C61" s="33"/>
      <c r="D61" s="34"/>
      <c r="E61" s="44"/>
      <c r="F61" s="31"/>
      <c r="G61" s="31"/>
      <c r="H61" s="8"/>
      <c r="I61" s="9"/>
      <c r="J61" s="10"/>
    </row>
    <row r="62" customFormat="false" ht="15" hidden="false" customHeight="false" outlineLevel="0" collapsed="false">
      <c r="A62" s="6"/>
      <c r="B62" s="36" t="s">
        <v>8</v>
      </c>
      <c r="C62" s="37" t="s">
        <v>9</v>
      </c>
      <c r="D62" s="38" t="s">
        <v>10</v>
      </c>
      <c r="E62" s="37" t="s">
        <v>59</v>
      </c>
      <c r="F62" s="39" t="s">
        <v>47</v>
      </c>
      <c r="G62" s="41"/>
      <c r="H62" s="40"/>
      <c r="I62" s="41"/>
      <c r="J62" s="10"/>
    </row>
    <row r="63" customFormat="false" ht="15" hidden="false" customHeight="false" outlineLevel="0" collapsed="false">
      <c r="A63" s="6"/>
      <c r="B63" s="42" t="s">
        <v>86</v>
      </c>
      <c r="C63" s="51" t="n">
        <f aca="false">C42</f>
        <v>32.289222500631</v>
      </c>
      <c r="D63" s="31" t="s">
        <v>22</v>
      </c>
      <c r="E63" s="52"/>
      <c r="F63" s="35" t="s">
        <v>87</v>
      </c>
      <c r="G63" s="9"/>
      <c r="H63" s="8"/>
      <c r="I63" s="9"/>
      <c r="J63" s="10"/>
    </row>
    <row r="64" customFormat="false" ht="15" hidden="false" customHeight="false" outlineLevel="0" collapsed="false">
      <c r="A64" s="6"/>
      <c r="B64" s="42" t="s">
        <v>88</v>
      </c>
      <c r="C64" s="51" t="n">
        <f aca="false">C25</f>
        <v>50</v>
      </c>
      <c r="D64" s="31" t="s">
        <v>22</v>
      </c>
      <c r="E64" s="52"/>
      <c r="F64" s="35" t="s">
        <v>89</v>
      </c>
      <c r="G64" s="9"/>
      <c r="H64" s="8"/>
      <c r="I64" s="9"/>
      <c r="J64" s="10"/>
    </row>
    <row r="65" customFormat="false" ht="40.5" hidden="false" customHeight="false" outlineLevel="0" collapsed="false">
      <c r="A65" s="6"/>
      <c r="B65" s="42" t="s">
        <v>90</v>
      </c>
      <c r="C65" s="51" t="n">
        <f aca="false">IF(ABS(C63-C64)&lt;0.01*MAX(C63,C64),0,SQRT(MAX(C63,C64)/MIN(C63,C64)-1))</f>
        <v>0.740610763852502</v>
      </c>
      <c r="D65" s="31" t="s">
        <v>18</v>
      </c>
      <c r="E65" s="52"/>
      <c r="F65" s="8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Q_match=0,74: L-network provides minimal harmonic filtering. Add a 5-element LPF for legal HF TX (−50 dBc required per IARU recommendation (−43 dBc per FCC §97.307)).</v>
      </c>
      <c r="G65" s="9"/>
      <c r="H65" s="8"/>
      <c r="I65" s="9"/>
      <c r="J65" s="10"/>
    </row>
    <row r="66" customFormat="false" ht="53.7" hidden="false" customHeight="false" outlineLevel="0" collapsed="false">
      <c r="A66" s="6"/>
      <c r="B66" s="42" t="s">
        <v>91</v>
      </c>
      <c r="C66" s="51" t="n">
        <f aca="false">C65*MIN(C63,C64)/C41</f>
        <v>5.43712977489534E-007</v>
      </c>
      <c r="D66" s="31" t="s">
        <v>66</v>
      </c>
      <c r="E66" s="52"/>
      <c r="F66" s="35" t="str">
        <f aca="false">IF(C70="Step-UP","Step-UP low-pass: Shunt C_match from DRAIN node (low-Z) to GND first; then series L_match from drain node toward load. This is the correct low-pass topology that attenuates harmonics. L_match = Q_match×R_min/ω; C_match = Q_match/(ω×R_max).","Step-DOWN: Series L_match from drain node (high-Z) toward load first; then shunt C_match from load node (low-Z) to GND. L_match = Q_match×R_min/ω; C_match = Q_match/(ω×R_max).")</f>
        <v>Step-UP low-pass: Shunt C_match from DRAIN node (low-Z) to GND first; then series L_match from drain node toward load. This is the correct low-pass topology that attenuates harmonics. L_match = Q_match×R_min/ω; C_match = Q_match/(ω×R_max).</v>
      </c>
      <c r="G66" s="9"/>
      <c r="H66" s="8"/>
      <c r="I66" s="9"/>
      <c r="J66" s="10"/>
    </row>
    <row r="67" customFormat="false" ht="15" hidden="false" customHeight="false" outlineLevel="0" collapsed="false">
      <c r="A67" s="6"/>
      <c r="B67" s="42" t="s">
        <v>92</v>
      </c>
      <c r="C67" s="51" t="n">
        <f aca="false">C66*1000000</f>
        <v>0.543712977489534</v>
      </c>
      <c r="D67" s="31" t="s">
        <v>69</v>
      </c>
      <c r="E67" s="44" t="str">
        <f aca="false">IFERROR(IF(ISNUMBER(C67),TEXT(10^INT(LOG10(ABS(C67)+1E-030))*CHOOSE(MATCH(C67/10^INT(LOG10(ABS(C67)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"&amp;D67,C67),"—")</f>
        <v>01 µH</v>
      </c>
      <c r="F67" s="56"/>
      <c r="G67" s="9"/>
      <c r="H67" s="8"/>
      <c r="I67" s="9"/>
      <c r="J67" s="10"/>
    </row>
    <row r="68" customFormat="false" ht="40.5" hidden="false" customHeight="false" outlineLevel="0" collapsed="false">
      <c r="A68" s="6"/>
      <c r="B68" s="42" t="s">
        <v>93</v>
      </c>
      <c r="C68" s="51" t="n">
        <f aca="false">C65/(C41*MAX(C63,C64))</f>
        <v>3.36776754211972E-010</v>
      </c>
      <c r="D68" s="31" t="s">
        <v>61</v>
      </c>
      <c r="E68" s="52"/>
      <c r="F68" s="35" t="str">
        <f aca="false">IF(C70="Step-UP","Step-UP low-pass: Shunt C_match from DRAIN node (low-Z) to GND — placed BEFORE L_match, at the drain/source end. This low-pass topology attenuates harmonics before the signal reaches the load.","Step-DOWN: Shunt C_match from LOAD node (low-Z) to GND — placed AFTER L_match, at the load end.")</f>
        <v>Step-UP low-pass: Shunt C_match from DRAIN node (low-Z) to GND — placed BEFORE L_match, at the drain/source end. This low-pass topology attenuates harmonics before the signal reaches the load.</v>
      </c>
      <c r="G68" s="9"/>
      <c r="H68" s="8"/>
      <c r="I68" s="9"/>
      <c r="J68" s="10"/>
    </row>
    <row r="69" customFormat="false" ht="15" hidden="false" customHeight="false" outlineLevel="0" collapsed="false">
      <c r="A69" s="6"/>
      <c r="B69" s="42" t="s">
        <v>94</v>
      </c>
      <c r="C69" s="51" t="n">
        <f aca="false">C68*1000000000000</f>
        <v>336.776754211972</v>
      </c>
      <c r="D69" s="31" t="s">
        <v>30</v>
      </c>
      <c r="E69" s="44" t="str">
        <f aca="false">IFERROR(IF(ISNUMBER(C69),TEXT(10^INT(LOG10(ABS(C69)+1E-030))*CHOOSE(MATCH(C69/10^INT(LOG10(ABS(C69)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"&amp;D69,C69),"—")</f>
        <v>330 pF</v>
      </c>
      <c r="F69" s="56"/>
      <c r="G69" s="9"/>
      <c r="H69" s="8"/>
      <c r="I69" s="9"/>
      <c r="J69" s="10"/>
    </row>
    <row r="70" customFormat="false" ht="105.75" hidden="false" customHeight="false" outlineLevel="0" collapsed="false">
      <c r="A70" s="6"/>
      <c r="B70" s="42" t="s">
        <v>95</v>
      </c>
      <c r="C70" s="57" t="str">
        <f aca="false">IF(C63&lt;C64,"Step-UP","Step-DOWN")</f>
        <v>Step-UP</v>
      </c>
      <c r="D70" s="45"/>
      <c r="E70" s="52"/>
      <c r="F70" s="56" t="s">
        <v>96</v>
      </c>
      <c r="G70" s="9"/>
      <c r="H70" s="8"/>
      <c r="I70" s="9"/>
      <c r="J70" s="10"/>
    </row>
    <row r="71" customFormat="false" ht="15" hidden="false" customHeight="false" outlineLevel="0" collapsed="false">
      <c r="A71" s="6"/>
      <c r="B71" s="7"/>
      <c r="C71" s="7"/>
      <c r="D71" s="6"/>
      <c r="E71" s="52"/>
      <c r="F71" s="9"/>
      <c r="G71" s="9"/>
      <c r="H71" s="8"/>
      <c r="I71" s="9"/>
      <c r="J71" s="10"/>
    </row>
    <row r="72" customFormat="false" ht="15.65" hidden="false" customHeight="false" outlineLevel="0" collapsed="false">
      <c r="A72" s="6"/>
      <c r="B72" s="49" t="s">
        <v>97</v>
      </c>
      <c r="C72" s="33"/>
      <c r="D72" s="34"/>
      <c r="E72" s="44"/>
      <c r="F72" s="31"/>
      <c r="G72" s="31"/>
      <c r="H72" s="8"/>
      <c r="I72" s="9"/>
      <c r="J72" s="10"/>
    </row>
    <row r="73" customFormat="false" ht="15" hidden="false" customHeight="false" outlineLevel="0" collapsed="false">
      <c r="A73" s="6"/>
      <c r="B73" s="36" t="s">
        <v>8</v>
      </c>
      <c r="C73" s="37" t="s">
        <v>9</v>
      </c>
      <c r="D73" s="38" t="s">
        <v>10</v>
      </c>
      <c r="E73" s="37" t="s">
        <v>59</v>
      </c>
      <c r="F73" s="39" t="s">
        <v>47</v>
      </c>
      <c r="G73" s="41"/>
      <c r="H73" s="40"/>
      <c r="I73" s="41"/>
      <c r="J73" s="10"/>
    </row>
    <row r="74" customFormat="false" ht="27.6" hidden="false" customHeight="false" outlineLevel="0" collapsed="false">
      <c r="A74" s="6"/>
      <c r="B74" s="42" t="s">
        <v>98</v>
      </c>
      <c r="C74" s="51" t="n">
        <f aca="false">1/(C41*C27*0.000000000001)</f>
        <v>378.940340694989</v>
      </c>
      <c r="D74" s="31" t="s">
        <v>22</v>
      </c>
      <c r="E74" s="52"/>
      <c r="F74" s="35" t="s">
        <v>99</v>
      </c>
      <c r="G74" s="9"/>
      <c r="H74" s="8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Xciss=379Ω | Rgate=10Ω | ratio=38× — series-resonance model (accurate)</v>
      </c>
      <c r="I74" s="9"/>
      <c r="J74" s="10"/>
    </row>
    <row r="75" customFormat="false" ht="27.6" hidden="false" customHeight="false" outlineLevel="0" collapsed="false">
      <c r="A75" s="6"/>
      <c r="B75" s="42" t="s">
        <v>100</v>
      </c>
      <c r="C75" s="51" t="n">
        <f aca="false">SQRT(C74^2+C28^2)</f>
        <v>379.072264622505</v>
      </c>
      <c r="D75" s="31" t="s">
        <v>22</v>
      </c>
      <c r="E75" s="52"/>
      <c r="F75" s="35" t="s">
        <v>101</v>
      </c>
      <c r="G75" s="9"/>
      <c r="H75" s="8"/>
      <c r="I75" s="9"/>
      <c r="J75" s="10"/>
    </row>
    <row r="76" customFormat="false" ht="15" hidden="false" customHeight="false" outlineLevel="0" collapsed="false">
      <c r="A76" s="6"/>
      <c r="B76" s="42" t="s">
        <v>102</v>
      </c>
      <c r="C76" s="51" t="n">
        <f aca="false">C24</f>
        <v>50</v>
      </c>
      <c r="D76" s="31" t="s">
        <v>22</v>
      </c>
      <c r="E76" s="52"/>
      <c r="F76" s="35" t="s">
        <v>103</v>
      </c>
      <c r="G76" s="9"/>
      <c r="H76" s="8"/>
      <c r="I76" s="9"/>
      <c r="J76" s="10"/>
    </row>
    <row r="77" customFormat="false" ht="53.7" hidden="false" customHeight="false" outlineLevel="0" collapsed="false">
      <c r="A77" s="6"/>
      <c r="B77" s="42" t="s">
        <v>104</v>
      </c>
      <c r="C77" s="51" t="n">
        <f aca="false">IF(C28=0,0,SQRT(MAX(MAX(C76,C28)/MIN(C76,C28)-1,0)))</f>
        <v>2</v>
      </c>
      <c r="D77" s="31" t="s">
        <v>18</v>
      </c>
      <c r="E77" s="52"/>
      <c r="F77" s="35" t="s">
        <v>105</v>
      </c>
      <c r="G77" s="9"/>
      <c r="H77" s="8"/>
      <c r="I77" s="9"/>
      <c r="J77" s="10"/>
    </row>
    <row r="78" customFormat="false" ht="105.75" hidden="false" customHeight="false" outlineLevel="0" collapsed="false">
      <c r="A78" s="6"/>
      <c r="B78" s="42" t="s">
        <v>106</v>
      </c>
      <c r="C78" s="51" t="n">
        <f aca="false">IF(C74&lt;3*C28,"⚠ Xciss&lt;3×Rgate: series-resonance model invalid — use complex L-network synthesis (ADS/LTspice).",(C74+C77*MIN(C24,C28))/C41*1000000)</f>
        <v>9.07047531719604</v>
      </c>
      <c r="D78" s="31" t="s">
        <v>69</v>
      </c>
      <c r="E78" s="44" t="str">
        <f aca="false">IF(C74/C28&gt;=10,"—",IFERROR(IF(ISNUMBER(C78),TEXT(10^INT(LOG10(ABS(C78)+1E-030))*CHOOSE(MATCH(C78/10^INT(LOG10(ABS(C78)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"&amp;D78,C78),"—"))</f>
        <v>—</v>
      </c>
      <c r="F78" s="35" t="s">
        <v>107</v>
      </c>
      <c r="G78" s="9"/>
      <c r="H78" s="8" t="str">
        <f aca="false">IF(C74/C28&gt;=10,"🚨 Xciss/Rgate="&amp;TEXT(ROUND(C74/C28,0),"0")&amp;"× ≥ 10 — Series resonance dominates. L_in≈L_res=1/(ω²·Ciss)="&amp;TEXT(1/(C41^2*(C27*0.000000000001))*1000000,"0.000")&amp;"µH. C_in has negligible effect — omit. LTspice simulation required.",IF(C74/C28&gt;=5,"⚠ Xciss/Rgate="&amp;TEXT(ROUND(C74/C28,1),"0.0")&amp;"× ∈[5,10) — Marginal L-network model. Estimated L_in formula error 10–25% (scalar Q-transform and resonance terms cannot be summed accurately for complex-load synthesis in this ratio range). Verify with LTspice simulation.",IF(C74&lt;3*C28,"⚠ Xciss ≈ R_gate: complex-load synthesis recommended.","⚠ Xciss/Rgate="&amp;TEXT(ROUND(C74/C28,1),"0.0")&amp;"× ∈[3,5) — formula error est. 10–25% (complex-load scalar summation). L_in shown is approximate; verify with ADS/LTspice.")))</f>
        <v>🚨 Xciss/Rgate=38× ≥ 10 — Series resonance dominates. L_in≈L_res=1/(ω²·Ciss)=0.009µH. C_in has negligible effect — omit. LTspice simulation required.</v>
      </c>
      <c r="I78" s="9"/>
      <c r="J78" s="10"/>
    </row>
    <row r="79" customFormat="false" ht="79.5" hidden="false" customHeight="false" outlineLevel="0" collapsed="false">
      <c r="A79" s="6"/>
      <c r="B79" s="42" t="s">
        <v>108</v>
      </c>
      <c r="C79" s="51" t="str">
        <f aca="false">IF(C74/C28&gt;=10,"⚠ C_in negligible — omit (series resonance mode)",IF(C76&gt;=C28,C77/(C41*C76)*1000000000000,C77/(C41*C28)*1000000000000))</f>
        <v>⚠ C_in negligible — omit (series resonance mode)</v>
      </c>
      <c r="D79" s="31" t="s">
        <v>30</v>
      </c>
      <c r="E79" s="44" t="str">
        <f aca="false">IF(C74/C28&gt;=3,"— (C_in negligible; omit)",IFERROR(IF(ISNUMBER(C79),TEXT(10^INT(LOG10(ABS(C79)+1E-030))*CHOOSE(MATCH(C79/10^INT(LOG10(ABS(C79)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"&amp;D79,C79),"— (C_in negligible; omit)"))</f>
        <v>— (C_in negligible; omit)</v>
      </c>
      <c r="F79" s="35" t="s">
        <v>109</v>
      </c>
      <c r="G79" s="9"/>
      <c r="H79" s="8"/>
      <c r="I79" s="9"/>
      <c r="J79" s="10"/>
    </row>
    <row r="80" customFormat="false" ht="15" hidden="false" customHeight="false" outlineLevel="0" collapsed="false">
      <c r="A80" s="6"/>
      <c r="B80" s="7"/>
      <c r="C80" s="7"/>
      <c r="D80" s="6"/>
      <c r="E80" s="52"/>
      <c r="F80" s="9"/>
      <c r="G80" s="9"/>
      <c r="H80" s="8"/>
      <c r="I80" s="9"/>
      <c r="J80" s="10"/>
    </row>
    <row r="81" customFormat="false" ht="15.65" hidden="false" customHeight="false" outlineLevel="0" collapsed="false">
      <c r="A81" s="6"/>
      <c r="B81" s="49" t="s">
        <v>110</v>
      </c>
      <c r="C81" s="33"/>
      <c r="D81" s="34"/>
      <c r="E81" s="44"/>
      <c r="F81" s="31"/>
      <c r="G81" s="31"/>
      <c r="H81" s="8"/>
      <c r="I81" s="9"/>
      <c r="J81" s="10"/>
    </row>
    <row r="82" customFormat="false" ht="15" hidden="false" customHeight="false" outlineLevel="0" collapsed="false">
      <c r="A82" s="6"/>
      <c r="B82" s="36" t="s">
        <v>8</v>
      </c>
      <c r="C82" s="37" t="s">
        <v>9</v>
      </c>
      <c r="D82" s="38" t="s">
        <v>10</v>
      </c>
      <c r="E82" s="37"/>
      <c r="F82" s="39" t="s">
        <v>47</v>
      </c>
      <c r="G82" s="39"/>
      <c r="H82" s="40"/>
      <c r="I82" s="41"/>
      <c r="J82" s="10"/>
    </row>
    <row r="83" customFormat="false" ht="105.75" hidden="false" customHeight="false" outlineLevel="0" collapsed="false">
      <c r="A83" s="6"/>
      <c r="B83" s="42" t="s">
        <v>111</v>
      </c>
      <c r="C83" s="51" t="n">
        <f aca="false">3.562*(C16-C20)+C20</f>
        <v>17.81</v>
      </c>
      <c r="D83" s="31" t="s">
        <v>12</v>
      </c>
      <c r="E83" s="44"/>
      <c r="F83" s="35" t="s">
        <v>112</v>
      </c>
      <c r="G83" s="9"/>
      <c r="H83" s="8"/>
      <c r="I83" s="9"/>
      <c r="J83" s="10"/>
    </row>
    <row r="84" customFormat="false" ht="66.75" hidden="false" customHeight="false" outlineLevel="0" collapsed="false">
      <c r="A84" s="6"/>
      <c r="B84" s="42" t="s">
        <v>113</v>
      </c>
      <c r="C84" s="51" t="n">
        <f aca="false">C37*C83</f>
        <v>53.43</v>
      </c>
      <c r="D84" s="31" t="s">
        <v>12</v>
      </c>
      <c r="E84" s="44"/>
      <c r="F84" s="35" t="str">
        <f aca="false">"V_DSS ≥ "&amp;TEXT(C84,"0")&amp;"V ("&amp;TEXT(C37,"0.0")&amp;"× safety margin applied: V_pk_nominal="&amp;TEXT(C83,"0.0")&amp;"V × "&amp;TEXT(C37,"0.0")&amp;"). Mistuned V_pk can reach 5×Vcc; increase C34 for worst-case designs."</f>
        <v>V_DSS ≥ 53V (03× safety margin applied: V_pk_nominal=18V × 03). Mistuned V_pk can reach 5×Vcc; increase C34 for worst-case designs.</v>
      </c>
      <c r="G84" s="9"/>
      <c r="H84" s="44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8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</row>
    <row r="85" customFormat="false" ht="40.5" hidden="false" customHeight="false" outlineLevel="0" collapsed="false">
      <c r="A85" s="6"/>
      <c r="B85" s="42" t="s">
        <v>114</v>
      </c>
      <c r="C85" s="51" t="n">
        <f aca="false">C83*(1+0.6*C42/(C41*C54))</f>
        <v>18.02372</v>
      </c>
      <c r="D85" s="31" t="s">
        <v>12</v>
      </c>
      <c r="E85" s="44"/>
      <c r="F85" s="35" t="s">
        <v>115</v>
      </c>
      <c r="G85" s="9"/>
      <c r="H85" s="44"/>
      <c r="I85" s="8"/>
      <c r="J85" s="10"/>
    </row>
    <row r="86" customFormat="false" ht="15" hidden="false" customHeight="false" outlineLevel="0" collapsed="false">
      <c r="A86" s="6"/>
      <c r="B86" s="42" t="s">
        <v>116</v>
      </c>
      <c r="C86" s="51" t="n">
        <f aca="false">2.862*C43</f>
        <v>0.285451158344649</v>
      </c>
      <c r="D86" s="31" t="s">
        <v>54</v>
      </c>
      <c r="E86" s="44"/>
      <c r="F86" s="35" t="s">
        <v>117</v>
      </c>
      <c r="G86" s="9"/>
      <c r="H86" s="8"/>
      <c r="I86" s="8"/>
      <c r="J86" s="10"/>
    </row>
    <row r="87" customFormat="false" ht="27.6" hidden="false" customHeight="false" outlineLevel="0" collapsed="false">
      <c r="A87" s="6"/>
      <c r="B87" s="42" t="s">
        <v>118</v>
      </c>
      <c r="C87" s="51" t="n">
        <f aca="false">C43</f>
        <v>0.0997383502252442</v>
      </c>
      <c r="D87" s="31" t="s">
        <v>54</v>
      </c>
      <c r="E87" s="44"/>
      <c r="F87" s="35" t="s">
        <v>119</v>
      </c>
      <c r="G87" s="9"/>
      <c r="H87" s="8"/>
      <c r="I87" s="8"/>
      <c r="J87" s="10"/>
    </row>
    <row r="88" customFormat="false" ht="53.7" hidden="false" customHeight="false" outlineLevel="0" collapsed="false">
      <c r="A88" s="6"/>
      <c r="B88" s="42" t="s">
        <v>120</v>
      </c>
      <c r="C88" s="51" t="n">
        <f aca="false">IF(NOT(ISNUMBER(C42)),"⚠ R (C40) invalid — fix QL in C18 first",IFERROR(IF(NOT(ISNUMBER(VLOOKUP(B9,'MOSFET Reference Table'!$A:$E,5,0)*1)),"⚠ LDMOS/no Rds — using input η="&amp;TEXT(C21,"0%"),IF(J90&gt;=C42,"🚨 η&lt;0: Rds losses exceed R — device unsuitable at this operating point",IF(NOT(ISNUMBER(J95)),J92,IF(J95&lt;0,"🚨 η&lt;0: Total losses (resistive+switching+RFC+Coss) exceed input power — device unsuitable",MAX(MIN(J95,0.99),0.01))))),C21))</f>
        <v>0.802098689414172</v>
      </c>
      <c r="D88" s="31" t="s">
        <v>18</v>
      </c>
      <c r="E88" s="44" t="str">
        <f aca="false">IF(ISNUMBER(C88),IF(ABS(C88-C21)&gt;0.005,"ℹ Analytical η="&amp;TEXT(C88,"0.0%")&amp;" (closed-form). C20 informational.","✅ η analytical — self-consistent. No iteration required."),"—")</f>
        <v>ℹ Analytical η=80% (closed-form). C20 informational.</v>
      </c>
      <c r="F88" s="35" t="str">
        <f aca="false">IF(IFERROR(VLOOKUP(B9,'MOSFET Reference Table'!$A:$I,9,0)*1,0)=0,IF(C18&lt;1,"ℹ fT not rated (VLF/LF design) — fT=0 warning suppressed for f&lt;1 MHz. Analytical η: eta_res=R/(R+losses). RFC loss = ESR_RFC×I_dc²/P_out (direct substitution, replacing Sokal fixed 1% term). p_coss=½·Coss_eff·V_pk²·f·k_coss — k_coss (I35,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designs."))</f>
        <v>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</v>
      </c>
      <c r="G88" s="9" t="n">
        <f aca="false">IF(NOT(ISNUMBER(C42)),"—",IFERROR(MAX(MIN(J92-(2*PI()*(1+0.82/C19)*J93)^2/12-C23*C43/MAX(C16-C35,0.001)-J94*J92/C17,0.99),0.01),C21))</f>
        <v>0.802098646991357</v>
      </c>
      <c r="H88" s="44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8" t="str">
        <f aca="false">IF(C92&gt;=999,"ℹ Enter θ_JA in C90 to compute derated η",IF(NOT(ISNUMBER(C88)),"—",IF(J99&gt;200,"⚠ T_j estimate exceeds 200°C — thermal design required","ℹ T_j≈"&amp;TEXT(J99,"0")&amp;"°C | Rds derated "&amp;TEXT(((J99+273)/298)^2.3,"0.00")&amp;"× | Derated η≈"&amp;TEXT(J103,"0.0%")&amp;" vs room-temp η="&amp;TEXT(C88,"0.0%")&amp;" (Δη="&amp;TEXT(C88-J103,"0.0%")&amp;" lower)")))</f>
        <v>ℹ Enter θ_JA in C90 to compute derated η</v>
      </c>
      <c r="J88" s="10" t="n">
        <f aca="false">IFERROR(VLOOKUP(B9,'MOSFET Reference Table'!$A:$E,5,0)*1,"#NA")</f>
        <v>5</v>
      </c>
    </row>
    <row r="89" customFormat="false" ht="40.5" hidden="false" customHeight="false" outlineLevel="0" collapsed="false">
      <c r="A89" s="6"/>
      <c r="B89" s="42" t="s">
        <v>121</v>
      </c>
      <c r="C89" s="51" t="n">
        <f aca="false">(C16-C35)*C43-C17</f>
        <v>0.098691751126221</v>
      </c>
      <c r="D89" s="31" t="s">
        <v>14</v>
      </c>
      <c r="E89" s="44"/>
      <c r="F89" s="35" t="s">
        <v>122</v>
      </c>
      <c r="G89" s="9"/>
      <c r="H89" s="8"/>
      <c r="I89" s="9"/>
      <c r="J89" s="10" t="n">
        <f aca="false">IFERROR(VLOOKUP(B9,'MOSFET Reference Table'!$A:$I,9,0)*1,0)</f>
        <v>300</v>
      </c>
    </row>
    <row r="90" customFormat="false" ht="53.7" hidden="false" customHeight="false" outlineLevel="0" collapsed="false">
      <c r="A90" s="6"/>
      <c r="B90" s="42" t="s">
        <v>123</v>
      </c>
      <c r="C90" s="51" t="n">
        <f aca="false">IF(C89&lt;=0,"N/A (P_diss ≈0)",IFERROR((INDEX('MOSFET Reference Table'!$M:$M,MATCH(B9,'MOSFET Reference Table'!$A:$A,0))-C29)/(MAX(C17*1.365*(VLOOKUP(B9,'MOSFET Reference Table'!$A:$E,5,0)*1)/C42+(((2*PI()*(1+0.82/C19)*(IF(C34&gt;0,C18*1000000*(C34/1000000000),IF((IFERROR(VLOOKUP(B9,'MOSFET Reference Table'!$A:$I,9,0)*1,0))&gt;0,2.5*C18/(IFERROR(VLOOKUP(B9,'MOSFET Reference Table'!$A:$I,9,0)*1,0)),0))))^2/12)*(C17/MAX(IF(ISNUMBER(C88),C88,C21),0.01)))+(0.5*(C32*0.000000000001*C36)*(3.562*(C16-C35-C20)+C20)^2*(C18*1000000)*$I$36),0.001)),IF((IFERROR(INDEX('MOSFET Reference Table'!$P:$P,MATCH(B9,'MOSFET Reference Table'!$A:$A,0)),""))="LDMOS",(200-C29)/(MAX((((2*PI()*(1+0.82/C19)*(IF(C34&gt;0,C18*1000000*(C34/1000000000),0)))^2/12)*(C17/MAX(IF(ISNUMBER(C88),C88,C21),0.01)))+(0.5*(C32*0.000000000001*C36)*(3.562*(C16-C35-C20)+C20)^2*(C18*1000000)*$I$36),0.001)),(150-C29)/(MAX((((2*PI()*(1+0.82/C19)*(IF(C34&gt;0,C18*1000000*(C34/1000000000),0)))^2/12)*(C17/MAX(IF(ISNUMBER(C88),C88,C21),0.01)))+(0.5*(C32*0.000000000001*C36)*(3.562*(C16-C35-C20)+C20)^2*(C18*1000000)*$I$36),0.001)))))</f>
        <v>1322.60695690003</v>
      </c>
      <c r="D90" s="31" t="s">
        <v>124</v>
      </c>
      <c r="E90" s="44"/>
      <c r="F90" s="35" t="s">
        <v>125</v>
      </c>
      <c r="G90" s="9"/>
      <c r="H90" s="8" t="str">
        <f aca="false">IF(NOT(ISNUMBER(C90)),"—",IF(C92&gt;=999,"ℹ Enter actual θ_JA (C92) to estimate T_j",IF(C89&lt;=0,"✅ T_j ≈ "&amp;TEXT(C29,"0")&amp;"°C (P_diss≈0)",IF(J104&gt;100,"⚠ T_j ≈ "&amp;TEXT(J104,"0")&amp;"°C: Rds(on) derated ~"&amp;TEXT(((J104+273)/298)^2.3,"0.0")&amp;"× — actual η lower than predicted.","✅ T_j ≈ "&amp;TEXT(J104,"0")&amp;"°C"))))</f>
        <v>ℹ Enter actual θ_JA (C92) to estimate T_j</v>
      </c>
      <c r="I90" s="9"/>
      <c r="J90" s="10" t="n">
        <f aca="false">IF(ISNUMBER(J88),C22+C30+1.365*J88+0.2116*C31,0)</f>
        <v>6.887116</v>
      </c>
    </row>
    <row r="91" customFormat="false" ht="53.7" hidden="false" customHeight="false" outlineLevel="0" collapsed="false">
      <c r="A91" s="6"/>
      <c r="B91" s="42" t="s">
        <v>126</v>
      </c>
      <c r="C91" s="51" t="str">
        <f aca="false">IF(NOT(ISNUMBER(C19)),"—",IF(C19&lt;1.7879,"⚠ QL below minimum (1.7879) — cross-check invalid",IFERROR(IF(ISNUMBER(C52),"C2·ω·R="&amp;TEXT((C52+0.2/(C41^2*C54))*C41*C42,"0.00000")&amp;"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C2·ω·R=000.000 | Sokal Eq.9=000.000 ✔OK</v>
      </c>
      <c r="D91" s="31" t="s">
        <v>18</v>
      </c>
      <c r="E91" s="44"/>
      <c r="F91" s="35" t="s">
        <v>127</v>
      </c>
      <c r="G91" s="9"/>
      <c r="H91" s="8"/>
      <c r="I91" s="9"/>
      <c r="J91" s="10" t="n">
        <f aca="false">0.576801*(1.0000086-0.414395/C19-0.577501/C19^2+0.205967/C19^3)</f>
        <v>0.516627560010096</v>
      </c>
    </row>
    <row r="92" customFormat="false" ht="79.5" hidden="false" customHeight="false" outlineLevel="0" collapsed="false">
      <c r="A92" s="6"/>
      <c r="B92" s="58" t="s">
        <v>128</v>
      </c>
      <c r="C92" s="59" t="n">
        <v>999</v>
      </c>
      <c r="D92" s="60" t="s">
        <v>124</v>
      </c>
      <c r="E92" s="52" t="str">
        <f aca="false">IF(C92&gt;=999,"ℹ Enter actual θ_JA (°C/W) to see thermally-derated η below (I86).","✅ θ_JA set")</f>
        <v>ℹ Enter actual θ_JA (°C/W) to see thermally-derated η below (I86).</v>
      </c>
      <c r="F92" s="8" t="s">
        <v>129</v>
      </c>
      <c r="G92" s="9"/>
      <c r="H92" s="8"/>
      <c r="I92" s="9"/>
      <c r="J92" s="10" t="n">
        <f aca="false">IF(NOT(ISNUMBER(J88)),0.05,IF(J90&gt;=C42,"err",C42/(C42+J90)))</f>
        <v>0.824202152023751</v>
      </c>
    </row>
    <row r="93" customFormat="false" ht="15" hidden="false" customHeight="false" outlineLevel="0" collapsed="false">
      <c r="A93" s="6"/>
      <c r="B93" s="7"/>
      <c r="C93" s="7"/>
      <c r="D93" s="6"/>
      <c r="E93" s="52"/>
      <c r="F93" s="8"/>
      <c r="G93" s="9"/>
      <c r="H93" s="8"/>
      <c r="I93" s="9"/>
      <c r="J93" s="10" t="n">
        <f aca="false">IF(C34&gt;0,C18*1000000*(C34/1000000000),IF(J89&gt;0,2.5*C18/J89,0))</f>
        <v>0.0583333333333333</v>
      </c>
    </row>
    <row r="94" customFormat="false" ht="15.65" hidden="false" customHeight="false" outlineLevel="0" collapsed="false">
      <c r="A94" s="6"/>
      <c r="B94" s="61" t="s">
        <v>130</v>
      </c>
      <c r="C94" s="7"/>
      <c r="D94" s="6"/>
      <c r="E94" s="52"/>
      <c r="F94" s="9"/>
      <c r="G94" s="9"/>
      <c r="H94" s="8"/>
      <c r="I94" s="9"/>
      <c r="J94" s="10" t="n">
        <f aca="false">0.5*(C32*0.000000000001*C36)*(3.562*(C16-C35-C20)+C20)^2*(C18*1000000)*$I$36</f>
        <v>0.002398002516</v>
      </c>
    </row>
    <row r="95" customFormat="false" ht="15" hidden="false" customHeight="false" outlineLevel="0" collapsed="false">
      <c r="A95" s="6"/>
      <c r="B95" s="62" t="s">
        <v>8</v>
      </c>
      <c r="C95" s="63" t="s">
        <v>9</v>
      </c>
      <c r="D95" s="64" t="s">
        <v>10</v>
      </c>
      <c r="E95" s="65" t="s">
        <v>59</v>
      </c>
      <c r="F95" s="66" t="s">
        <v>47</v>
      </c>
      <c r="G95" s="41"/>
      <c r="H95" s="40"/>
      <c r="I95" s="41"/>
      <c r="J95" s="10" t="n">
        <f aca="false">IF(ISNUMBER(J92),J92-(2*PI()*(1+0.82/C19)*J93)^2/12-C23*C43/MAX(C16-C35,0.001)-J94*J92/C17,J92)</f>
        <v>0.802098689414172</v>
      </c>
    </row>
    <row r="96" customFormat="false" ht="92.9" hidden="false" customHeight="false" outlineLevel="0" collapsed="false">
      <c r="A96" s="6"/>
      <c r="B96" s="58" t="s">
        <v>131</v>
      </c>
      <c r="C96" s="67" t="n">
        <f aca="false">1.4*C18</f>
        <v>9.8</v>
      </c>
      <c r="D96" s="60" t="s">
        <v>16</v>
      </c>
      <c r="E96" s="52"/>
      <c r="F96" s="8" t="s">
        <v>132</v>
      </c>
      <c r="G96" s="9"/>
      <c r="H96" s="8"/>
      <c r="I96" s="9"/>
      <c r="J96" s="10" t="n">
        <f aca="false">IF(ISNUMBER(C88),C17/C88,0)</f>
        <v>0.498691751126221</v>
      </c>
    </row>
    <row r="97" customFormat="false" ht="15" hidden="false" customHeight="false" outlineLevel="0" collapsed="false">
      <c r="A97" s="6"/>
      <c r="B97" s="58" t="s">
        <v>133</v>
      </c>
      <c r="C97" s="67" t="n">
        <f aca="false">2*PI()*C96*1000000</f>
        <v>61575216.0103599</v>
      </c>
      <c r="D97" s="60" t="s">
        <v>49</v>
      </c>
      <c r="E97" s="52"/>
      <c r="F97" s="8"/>
      <c r="G97" s="9"/>
      <c r="H97" s="8"/>
      <c r="I97" s="9"/>
      <c r="J97" s="10" t="n">
        <f aca="false">((2*PI()*(1+0.82/C19)*J93)^2/12)*J96</f>
        <v>0.00756397742195711</v>
      </c>
    </row>
    <row r="98" customFormat="false" ht="15" hidden="false" customHeight="false" outlineLevel="0" collapsed="false">
      <c r="A98" s="6"/>
      <c r="B98" s="58" t="s">
        <v>134</v>
      </c>
      <c r="C98" s="67" t="n">
        <f aca="false">C25</f>
        <v>50</v>
      </c>
      <c r="D98" s="60" t="s">
        <v>22</v>
      </c>
      <c r="E98" s="52"/>
      <c r="F98" s="8" t="s">
        <v>135</v>
      </c>
      <c r="G98" s="9"/>
      <c r="H98" s="8"/>
      <c r="I98" s="9"/>
      <c r="J98" s="10" t="n">
        <f aca="false">C17*1.365*J88/C42+J97+J94</f>
        <v>0.0945103149109237</v>
      </c>
    </row>
    <row r="99" customFormat="false" ht="132" hidden="false" customHeight="false" outlineLevel="0" collapsed="false">
      <c r="A99" s="6"/>
      <c r="B99" s="58" t="s">
        <v>136</v>
      </c>
      <c r="C99" s="67" t="n">
        <f aca="false">1.1468*C98/C97</f>
        <v>9.31218820090743E-007</v>
      </c>
      <c r="D99" s="60" t="s">
        <v>66</v>
      </c>
      <c r="E99" s="52" t="str">
        <f aca="false">IF(C109+15&lt;-50,"✅ Worst-case likely meets −50 dBc IARU (theoretical: "&amp;TEXT(ABS(C109),"0.0")&amp;" dBc; worst-case: "&amp;TEXT(ABS(C109+15),"0.0")&amp;" dBc). Verify with spectrum analyser.",IF(C109+15&lt;-43,"⚠ Worst-case likely meets FCC −43 dBc only (theoretical: "&amp;TEXT(ABS(C109),"0.0")&amp;" dBc; worst-case: "&amp;TEXT(ABS(C109+15),"0.0")&amp;" dBc). Add filter margin for IARU −50 dBc. Verify with spectrum analyser.","🚨 Worst-case may FAIL FCC −43 dBc (theoretical: "&amp;TEXT(ABS(C109),"0.0")&amp;" dBc; worst-case: "&amp;TEXT(ABS(C109+15),"0.0")&amp;" dBc) — add filter poles or reduce fc. Verify with spectrum analyser."))</f>
        <v>🚨 Worst-case may FAIL FCC −43 dBc (theoretical: 17 dBc; worst-case: 02 dBc) — add filter poles or reduce fc. Verify with spectrum analyser.</v>
      </c>
      <c r="F99" s="8" t="s">
        <v>137</v>
      </c>
      <c r="G99" s="9"/>
      <c r="H99" s="8"/>
      <c r="I99" s="9"/>
      <c r="J99" s="10" t="n">
        <f aca="false">C29+J98*C92</f>
        <v>119.415804596013</v>
      </c>
    </row>
    <row r="100" customFormat="false" ht="15" hidden="false" customHeight="false" outlineLevel="0" collapsed="false">
      <c r="A100" s="6"/>
      <c r="B100" s="58" t="s">
        <v>138</v>
      </c>
      <c r="C100" s="67" t="n">
        <f aca="false">C99*1000000</f>
        <v>0.931218820090743</v>
      </c>
      <c r="D100" s="60" t="s">
        <v>69</v>
      </c>
      <c r="E100" s="52" t="str">
        <f aca="false">IFERROR(IF(ISNUMBER(C100),TEXT(10^INT(LOG10(ABS(C100)+1E-030))*CHOOSE(MATCH(C100/10^INT(LOG10(ABS(C100)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"&amp;D100,C100),"—")</f>
        <v>01 µH</v>
      </c>
      <c r="F100" s="8"/>
      <c r="G100" s="9"/>
      <c r="H100" s="8"/>
      <c r="I100" s="9"/>
      <c r="J100" s="10" t="n">
        <f aca="false">IFERROR(INDEX('MOSFET Reference Table'!$Q:$Q,MATCH(B9,'MOSFET Reference Table'!$A:$A,0)),2.3)</f>
        <v>2</v>
      </c>
    </row>
    <row r="101" customFormat="false" ht="15" hidden="false" customHeight="false" outlineLevel="0" collapsed="false">
      <c r="A101" s="6"/>
      <c r="B101" s="58" t="s">
        <v>139</v>
      </c>
      <c r="C101" s="67" t="n">
        <f aca="false">1.3712/(C98*C97)</f>
        <v>4.45373995852259E-010</v>
      </c>
      <c r="D101" s="60" t="s">
        <v>61</v>
      </c>
      <c r="E101" s="52"/>
      <c r="F101" s="8" t="s">
        <v>140</v>
      </c>
      <c r="G101" s="9"/>
      <c r="H101" s="8"/>
      <c r="I101" s="9"/>
      <c r="J101" s="10" t="n">
        <f aca="false">IF(ISNUMBER(J88),J88*((J99+273)/298)^J100,0)</f>
        <v>8.67022677451106</v>
      </c>
    </row>
    <row r="102" customFormat="false" ht="15" hidden="false" customHeight="false" outlineLevel="0" collapsed="false">
      <c r="A102" s="6"/>
      <c r="B102" s="58" t="s">
        <v>141</v>
      </c>
      <c r="C102" s="67" t="n">
        <f aca="false">C101*1000000000000</f>
        <v>445.373995852259</v>
      </c>
      <c r="D102" s="60" t="s">
        <v>30</v>
      </c>
      <c r="E102" s="52" t="str">
        <f aca="false">IFERROR(IF(ISNUMBER(C102),TEXT(10^INT(LOG10(ABS(C102)+1E-030))*CHOOSE(MATCH(C102/10^INT(LOG10(ABS(C102)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"&amp;D102,C102),"—")</f>
        <v>430 pF</v>
      </c>
      <c r="F102" s="8"/>
      <c r="G102" s="9"/>
      <c r="H102" s="8"/>
      <c r="I102" s="9"/>
      <c r="J102" s="10" t="n">
        <f aca="false">MAX(MIN(C42/(C42+C22+C30+1.365*J101+0.2116*C31),0.99),0.01)</f>
        <v>0.730753582050051</v>
      </c>
    </row>
    <row r="103" customFormat="false" ht="27.6" hidden="false" customHeight="false" outlineLevel="0" collapsed="false">
      <c r="A103" s="6"/>
      <c r="B103" s="58" t="s">
        <v>142</v>
      </c>
      <c r="C103" s="67" t="n">
        <f aca="false">1.975*C98/C97</f>
        <v>1.60372965615558E-006</v>
      </c>
      <c r="D103" s="60" t="s">
        <v>66</v>
      </c>
      <c r="E103" s="52"/>
      <c r="F103" s="8" t="s">
        <v>143</v>
      </c>
      <c r="G103" s="9"/>
      <c r="H103" s="8"/>
      <c r="I103" s="9"/>
      <c r="J103" s="10" t="n">
        <f aca="false">MAX(MIN(J102-(2*PI()*(1+0.82/C19)*J93)^2/12-C23*C43/MAX(C16-C35,0.001)-J94*J102/C17,0.99),0.01)</f>
        <v>0.70921030178244</v>
      </c>
    </row>
    <row r="104" customFormat="false" ht="15" hidden="false" customHeight="false" outlineLevel="0" collapsed="false">
      <c r="A104" s="6"/>
      <c r="B104" s="58" t="s">
        <v>144</v>
      </c>
      <c r="C104" s="67" t="n">
        <f aca="false">C103*1000000</f>
        <v>1.60372965615558</v>
      </c>
      <c r="D104" s="60" t="s">
        <v>69</v>
      </c>
      <c r="E104" s="52" t="str">
        <f aca="false">IFERROR(IF(ISNUMBER(C104),TEXT(10^INT(LOG10(ABS(C104)+1E-030))*CHOOSE(MATCH(C104/10^INT(LOG10(ABS(C104)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"&amp;D104,C104),"—")</f>
        <v>02 µH</v>
      </c>
      <c r="F104" s="8"/>
      <c r="G104" s="9"/>
      <c r="H104" s="8"/>
      <c r="I104" s="9"/>
      <c r="J104" s="10" t="n">
        <f aca="false">C29+J98*C92</f>
        <v>119.415804596013</v>
      </c>
    </row>
    <row r="105" customFormat="false" ht="27.6" hidden="false" customHeight="false" outlineLevel="0" collapsed="false">
      <c r="A105" s="6"/>
      <c r="B105" s="68" t="s">
        <v>145</v>
      </c>
      <c r="C105" s="69" t="n">
        <f aca="false">1.3712/(C98*C97)</f>
        <v>4.45373995852259E-010</v>
      </c>
      <c r="D105" s="6" t="s">
        <v>61</v>
      </c>
      <c r="E105" s="52"/>
      <c r="F105" s="8" t="s">
        <v>146</v>
      </c>
      <c r="G105" s="9"/>
      <c r="H105" s="9"/>
      <c r="I105" s="9"/>
      <c r="J105" s="10"/>
    </row>
    <row r="106" customFormat="false" ht="15" hidden="false" customHeight="false" outlineLevel="0" collapsed="false">
      <c r="A106" s="6"/>
      <c r="B106" s="68" t="s">
        <v>147</v>
      </c>
      <c r="C106" s="69" t="n">
        <f aca="false">C105*1000000000000</f>
        <v>445.373995852259</v>
      </c>
      <c r="D106" s="6" t="s">
        <v>30</v>
      </c>
      <c r="E106" s="52" t="str">
        <f aca="false">IFERROR(IF(ISNUMBER(C106),TEXT(10^INT(LOG10(ABS(C106)+1E-030))*CHOOSE(MATCH(C106/10^INT(LOG10(ABS(C106)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"&amp;D106,C106),"—")</f>
        <v>430 pF</v>
      </c>
      <c r="F106" s="8"/>
      <c r="G106" s="9"/>
      <c r="H106" s="9"/>
      <c r="I106" s="9"/>
      <c r="J106" s="10"/>
    </row>
    <row r="107" customFormat="false" ht="92.9" hidden="false" customHeight="false" outlineLevel="0" collapsed="false">
      <c r="A107" s="6"/>
      <c r="B107" s="68" t="s">
        <v>148</v>
      </c>
      <c r="C107" s="69" t="n">
        <f aca="false">1.1468*C98/C97</f>
        <v>9.31218820090743E-007</v>
      </c>
      <c r="D107" s="6" t="s">
        <v>66</v>
      </c>
      <c r="E107" s="52"/>
      <c r="F107" s="8" t="s">
        <v>149</v>
      </c>
      <c r="G107" s="9"/>
      <c r="H107" s="9"/>
      <c r="I107" s="9"/>
      <c r="J107" s="10"/>
    </row>
    <row r="108" customFormat="false" ht="15" hidden="false" customHeight="false" outlineLevel="0" collapsed="false">
      <c r="A108" s="6"/>
      <c r="B108" s="68" t="s">
        <v>150</v>
      </c>
      <c r="C108" s="69" t="n">
        <f aca="false">C107*1000000</f>
        <v>0.931218820090743</v>
      </c>
      <c r="D108" s="6" t="s">
        <v>69</v>
      </c>
      <c r="E108" s="52" t="str">
        <f aca="false">IFERROR(IF(ISNUMBER(C108),TEXT(10^INT(LOG10(ABS(C108)+1E-030))*CHOOSE(MATCH(C108/10^INT(LOG10(ABS(C108)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"&amp;D108,C108),"—")</f>
        <v>01 µH</v>
      </c>
      <c r="F108" s="8"/>
      <c r="G108" s="9"/>
      <c r="H108" s="9"/>
      <c r="I108" s="9"/>
      <c r="J108" s="10"/>
    </row>
    <row r="109" customFormat="false" ht="66.75" hidden="false" customHeight="false" outlineLevel="0" collapsed="false">
      <c r="A109" s="6"/>
      <c r="B109" s="58" t="s">
        <v>151</v>
      </c>
      <c r="C109" s="67" t="n">
        <f aca="false">-10*LOG10((1+0.02329*(16*(2*C18/C96)^5-20*(2*C18/C96)^3+5*(2*C18/C96))^2)/(1+0.02329*(16*(C18/C96)^5-20*(C18/C96)^3+5*(C18/C96))^2))</f>
        <v>-16.5868689847509</v>
      </c>
      <c r="D109" s="60" t="s">
        <v>152</v>
      </c>
      <c r="E109" s="52" t="str">
        <f aca="false">IF(-10*LOG10((1+0.02329*(4*(2*C18/C96)^3-3*(2*C18/C96))^2)/(1+0.02329*(16*(C18/C96)^5-20*(C18/C96)^3+5*(C18/C96))^2))&lt;=-50,"3 poles min for −50 dBc at 2f",IF(-10*LOG10((1+0.02329*(8*(2*C18/C96)^4-8*(2*C18/C96)^2+1)^2)/(1+0.02329*(16*(C18/C96)^5-20*(C18/C96)^3+5*(C18/C96))^2))&lt;=-50,"4 poles min for −50 dBc at 2f",IF(-10*LOG10((1+0.02329*(16*(2*C18/C96)^5-20*(2*C18/C96)^3+5*(2*C18/C96))^2)/(1+0.02329*(16*(C18/C96)^5-20*(C18/C96)^3+5*(C18/C96))^2))&lt;=-50,"5 poles min for −50 dBc at 2f",IF(-10*LOG10((1+0.02329*(32*(2*C18/C96)^6-48*(2*C18/C96)^4+18*(2*C18/C96)^2-1)^2)/(1+0.02329*(16*(C18/C96)^5-20*(C18/C96)^3+5*(C18/C96))^2))&lt;=-50,"6 poles min for −50 dBc at 2f",IF(-10*LOG10((1+0.02329*(64*(2*C18/C96)^7-112*(2*C18/C96)^5+56*(2*C18/C96)^3-7*(2*C18/C96))^2)/(1+0.02329*(16*(C18/C96)^5-20*(C18/C96)^3+5*(C18/C96))^2))&lt;=-50,"7 poles min for −50 dBc at 2f",IF(-10*LOG10((1+0.02329*(128*(2*C18/C96)^8-256*(2*C18/C96)^6+160*(2*C18/C96)^4-32*(2*C18/C96)^2+1)^2)/(1+0.02329*(16*(C18/C96)^5-20*(C18/C96)^3+5*(C18/C96))^2))&lt;=-50,"8 poles min for −50 dBc at 2f","9+ poles required for −50 dBc at 2f"))))))</f>
        <v>9+ poles required for −50 dBc at 2f</v>
      </c>
      <c r="F109" s="8" t="str">
        <f aca="false">IF(C109&lt;-50,"✅ "&amp;TEXT(ABS(C109),"0.0")&amp;"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"&amp;TEXT(ABS(C109),"0.0")&amp;" dBc at 2f — insufficient for IARU (−50 dBc required). Increase filter order or lower fc.")</f>
        <v>⚠ 17 dBc at 2f — insufficient for IARU (−50 dBc required). Increase filter order or lower fc.</v>
      </c>
      <c r="G109" s="9"/>
      <c r="H109" s="8" t="str">
        <f aca="false">IF(ISNUMBER(C109),"⚠ THEORETICAL VALUE — assumes 50Ω source. Actual rejection may be 10–20 dB lower. Worst-case estimate: "&amp;TEXT(C109+15,"0.0")&amp;" dBc. "&amp;IF(C109+15&gt;-50,"🚨 Worst-case may not meet −50 dBc IARU. Verify with spectrum analyser before regulatory submission.",IF(C109+15&gt;-43,"⚠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-02 dBc. 🚨 Worst-case may not meet −50 dBc IARU. Verify with spectrum analyser before regulatory submission.</v>
      </c>
      <c r="I109" s="9"/>
      <c r="J109" s="10"/>
    </row>
    <row r="110" customFormat="false" ht="40.5" hidden="false" customHeight="false" outlineLevel="0" collapsed="false">
      <c r="A110" s="6"/>
      <c r="B110" s="58" t="s">
        <v>153</v>
      </c>
      <c r="C110" s="67" t="n">
        <f aca="false">-10*LOG10((1+0.02329*(16*(3*C18/C96)^5-20*(3*C18/C96)^3+5*(3*C18/C96))^2)/(1+0.02329*(16*(C18/C96)^5-20*(C18/C96)^3+5*(C18/C96))^2))</f>
        <v>-38.2137768142439</v>
      </c>
      <c r="D110" s="60" t="s">
        <v>152</v>
      </c>
      <c r="E110" s="52" t="str">
        <f aca="false">IF(-10*LOG10((1+0.02329*(4*(3*C18/C96)^3-3*(3*C18/C96))^2)/(1+0.02329*(16*(C18/C96)^5-20*(C18/C96)^3+5*(C18/C96))^2))&lt;=-50,"3 poles min for −50 dBc at 3f",IF(-10*LOG10((1+0.02329*(8*(3*C18/C96)^4-8*(3*C18/C96)^2+1)^2)/(1+0.02329*(16*(C18/C96)^5-20*(C18/C96)^3+5*(C18/C96))^2))&lt;=-50,"4 poles min for −50 dBc at 3f",IF(-10*LOG10((1+0.02329*(16*(3*C18/C96)^5-20*(3*C18/C96)^3+5*(3*C18/C96))^2)/(1+0.02329*(16*(C18/C96)^5-20*(C18/C96)^3+5*(C18/C96))^2))&lt;=-50,"5 poles min for −50 dBc at 3f",IF(-10*LOG10((1+0.02329*(32*(3*C18/C96)^6-48*(3*C18/C96)^4+18*(3*C18/C96)^2-1)^2)/(1+0.02329*(16*(C18/C96)^5-20*(C18/C96)^3+5*(C18/C96))^2))&lt;=-50,"6 poles min for −50 dBc at 3f",IF(-10*LOG10((1+0.02329*(64*(3*C18/C96)^7-112*(3*C18/C96)^5+56*(3*C18/C96)^3-7*(3*C18/C96))^2)/(1+0.02329*(16*(C18/C96)^5-20*(C18/C96)^3+5*(C18/C96))^2))&lt;=-50,"7 poles min for −50 dBc at 3f",IF(-10*LOG10((1+0.02329*(128*(3*C18/C96)^8-256*(3*C18/C96)^6+160*(3*C18/C96)^4-32*(3*C18/C96)^2+1)^2)/(1+0.02329*(16*(C18/C96)^5-20*(C18/C96)^3+5*(C18/C96))^2))&lt;=-50,"8 poles min for −50 dBc at 3f","9+ poles required for −50 dBc at 3f"))))))</f>
        <v>6 poles min for −50 dBc at 3f</v>
      </c>
      <c r="F110" s="8" t="str">
        <f aca="false">IF(C110&lt;-50,"✅ "&amp;TEXT(ABS(C110),"0.0")&amp;" dBc at 3f — meets IARU recommendation (−50 dBc) and FCC §97.307. ⚠ 50Ω SOURCE ASSUMPTION: Actual 3f attenuation may differ by ±10–20 dB when source impedance ≠ 50Ω. Verify with LTspice or spectrum analyser.","⚠ "&amp;TEXT(ABS(C110),"0.0")&amp;" dBc at 3f — add filter poles. ⚠ 50Ω SOURCE ASSUMPTION: Actual attenuation differs when Class-E drain impedance is the source. Verify with LTspice or spectrum analyser before regulatory submission.")</f>
        <v>⚠ 38 dBc at 3f — add filter poles. ⚠ 50Ω SOURCE ASSUMPTION: Actual attenuation differs when Class-E drain impedance is the source. Verify with LTspice or spectrum analyser before regulatory submission.</v>
      </c>
      <c r="G110" s="9"/>
      <c r="H110" s="8"/>
      <c r="I110" s="9"/>
      <c r="J110" s="10"/>
    </row>
    <row r="111" customFormat="false" ht="79.5" hidden="false" customHeight="false" outlineLevel="0" collapsed="false">
      <c r="A111" s="6"/>
      <c r="B111" s="58" t="s">
        <v>154</v>
      </c>
      <c r="C111" s="67"/>
      <c r="D111" s="60"/>
      <c r="E111" s="52"/>
      <c r="F111" s="8" t="str">
        <f aca="false">IF(C65&lt;0.01,"🚨 LPF SOURCE MISMATCH: R_drain ≈ Z_load (no L-network) — LPF source ≈ "&amp;TEXT(C42,"0.0")&amp;" Ω ≠ 50 Ω. LPF attenuation values INVALID. Insert L-network before LPF.","✅ L-network active (Q_match="&amp;TEXT(C65,"0.00")&amp;"×)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(Q_match=0,74×)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1" s="9"/>
      <c r="H111" s="8"/>
      <c r="I111" s="9"/>
      <c r="J111" s="10"/>
    </row>
    <row r="112" customFormat="false" ht="15" hidden="false" customHeight="false" outlineLevel="0" collapsed="false">
      <c r="A112" s="6"/>
      <c r="B112" s="6"/>
      <c r="C112" s="7"/>
      <c r="D112" s="6"/>
      <c r="E112" s="8"/>
      <c r="F112" s="9"/>
      <c r="G112" s="9"/>
      <c r="H112" s="8"/>
      <c r="I112" s="9"/>
      <c r="J112" s="10"/>
    </row>
    <row r="113" customFormat="false" ht="15" hidden="false" customHeight="false" outlineLevel="0" collapsed="false">
      <c r="A113" s="6"/>
      <c r="B113" s="70" t="s">
        <v>155</v>
      </c>
      <c r="C113" s="33"/>
      <c r="D113" s="34"/>
      <c r="E113" s="35"/>
      <c r="F113" s="31"/>
      <c r="G113" s="31"/>
      <c r="H113" s="8"/>
      <c r="I113" s="9"/>
      <c r="J113" s="10"/>
    </row>
    <row r="114" customFormat="false" ht="15" hidden="false" customHeight="false" outlineLevel="0" collapsed="false">
      <c r="A114" s="6"/>
      <c r="B114" s="31" t="s">
        <v>156</v>
      </c>
      <c r="C114" s="56"/>
      <c r="D114" s="45"/>
      <c r="E114" s="56"/>
      <c r="F114" s="45"/>
      <c r="G114" s="45"/>
      <c r="H114" s="8"/>
      <c r="I114" s="9"/>
      <c r="J114" s="10"/>
    </row>
    <row r="115" customFormat="false" ht="15" hidden="false" customHeight="false" outlineLevel="0" collapsed="false">
      <c r="A115" s="6"/>
      <c r="B115" s="31" t="s">
        <v>157</v>
      </c>
      <c r="C115" s="56"/>
      <c r="D115" s="45"/>
      <c r="E115" s="56"/>
      <c r="F115" s="45"/>
      <c r="G115" s="45"/>
      <c r="H115" s="8"/>
      <c r="I115" s="9"/>
      <c r="J115" s="10"/>
    </row>
    <row r="116" customFormat="false" ht="15" hidden="false" customHeight="false" outlineLevel="0" collapsed="false">
      <c r="A116" s="6"/>
      <c r="B116" s="31" t="s">
        <v>158</v>
      </c>
      <c r="C116" s="56"/>
      <c r="D116" s="45"/>
      <c r="E116" s="56"/>
      <c r="F116" s="45"/>
      <c r="G116" s="45"/>
      <c r="H116" s="8"/>
      <c r="I116" s="9"/>
      <c r="J116" s="10"/>
    </row>
    <row r="117" customFormat="false" ht="15" hidden="false" customHeight="false" outlineLevel="0" collapsed="false">
      <c r="A117" s="6"/>
      <c r="B117" s="31" t="s">
        <v>159</v>
      </c>
      <c r="C117" s="56"/>
      <c r="D117" s="45"/>
      <c r="E117" s="56"/>
      <c r="F117" s="45"/>
      <c r="G117" s="45"/>
      <c r="H117" s="8"/>
      <c r="I117" s="9"/>
      <c r="J117" s="10"/>
    </row>
    <row r="118" customFormat="false" ht="15" hidden="false" customHeight="false" outlineLevel="0" collapsed="false">
      <c r="A118" s="6"/>
      <c r="B118" s="31" t="s">
        <v>160</v>
      </c>
      <c r="C118" s="56"/>
      <c r="D118" s="45"/>
      <c r="E118" s="56"/>
      <c r="F118" s="45"/>
      <c r="G118" s="45"/>
      <c r="H118" s="8"/>
      <c r="I118" s="9"/>
      <c r="J118" s="10"/>
    </row>
    <row r="119" customFormat="false" ht="15" hidden="false" customHeight="false" outlineLevel="0" collapsed="false">
      <c r="A119" s="6"/>
      <c r="B119" s="31" t="s">
        <v>161</v>
      </c>
      <c r="C119" s="56"/>
      <c r="D119" s="45"/>
      <c r="E119" s="56"/>
      <c r="F119" s="45"/>
      <c r="G119" s="45"/>
      <c r="H119" s="8"/>
      <c r="I119" s="9"/>
      <c r="J119" s="10"/>
    </row>
    <row r="120" customFormat="false" ht="15" hidden="false" customHeight="false" outlineLevel="0" collapsed="false">
      <c r="A120" s="6"/>
      <c r="B120" s="31" t="s">
        <v>162</v>
      </c>
      <c r="C120" s="56"/>
      <c r="D120" s="45"/>
      <c r="E120" s="56"/>
      <c r="F120" s="45"/>
      <c r="G120" s="45"/>
      <c r="H120" s="8"/>
      <c r="I120" s="9"/>
      <c r="J120" s="10"/>
    </row>
    <row r="121" customFormat="false" ht="15" hidden="false" customHeight="false" outlineLevel="0" collapsed="false">
      <c r="A121" s="6"/>
      <c r="B121" s="31" t="s">
        <v>163</v>
      </c>
      <c r="C121" s="56"/>
      <c r="D121" s="45"/>
      <c r="E121" s="56"/>
      <c r="F121" s="45"/>
      <c r="G121" s="45"/>
      <c r="H121" s="8"/>
      <c r="I121" s="9"/>
      <c r="J121" s="10"/>
    </row>
    <row r="122" customFormat="false" ht="15" hidden="false" customHeight="false" outlineLevel="0" collapsed="false">
      <c r="A122" s="6"/>
      <c r="B122" s="31" t="s">
        <v>164</v>
      </c>
      <c r="C122" s="56"/>
      <c r="D122" s="45"/>
      <c r="E122" s="56"/>
      <c r="F122" s="45"/>
      <c r="G122" s="45"/>
      <c r="H122" s="8"/>
      <c r="I122" s="9"/>
      <c r="J122" s="10"/>
    </row>
    <row r="123" customFormat="false" ht="15" hidden="false" customHeight="false" outlineLevel="0" collapsed="false">
      <c r="A123" s="6"/>
      <c r="B123" s="31" t="s">
        <v>165</v>
      </c>
      <c r="C123" s="56"/>
      <c r="D123" s="45"/>
      <c r="E123" s="56"/>
      <c r="F123" s="45"/>
      <c r="G123" s="45"/>
      <c r="H123" s="8"/>
      <c r="I123" s="9"/>
      <c r="J123" s="10"/>
    </row>
    <row r="124" customFormat="false" ht="15" hidden="false" customHeight="false" outlineLevel="0" collapsed="false">
      <c r="A124" s="6"/>
      <c r="B124" s="31" t="s">
        <v>166</v>
      </c>
      <c r="C124" s="56"/>
      <c r="D124" s="45"/>
      <c r="E124" s="56"/>
      <c r="F124" s="45"/>
      <c r="G124" s="45"/>
      <c r="H124" s="8"/>
      <c r="I124" s="9"/>
      <c r="J124" s="10"/>
    </row>
    <row r="125" customFormat="false" ht="15" hidden="false" customHeight="false" outlineLevel="0" collapsed="false">
      <c r="A125" s="6"/>
      <c r="B125" s="31" t="s">
        <v>167</v>
      </c>
      <c r="C125" s="56"/>
      <c r="D125" s="45"/>
      <c r="E125" s="56"/>
      <c r="F125" s="45"/>
      <c r="G125" s="45"/>
      <c r="H125" s="8"/>
      <c r="I125" s="9"/>
      <c r="J125" s="10"/>
    </row>
    <row r="126" customFormat="false" ht="15" hidden="false" customHeight="false" outlineLevel="0" collapsed="false">
      <c r="A126" s="6"/>
      <c r="B126" s="6"/>
      <c r="C126" s="7"/>
      <c r="D126" s="6"/>
      <c r="E126" s="8"/>
      <c r="F126" s="9"/>
      <c r="G126" s="9"/>
      <c r="H126" s="8"/>
      <c r="I126" s="9"/>
      <c r="J126" s="10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D15" activeCellId="0" sqref="D1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1" width="2.55"/>
    <col collapsed="false" customWidth="true" hidden="false" outlineLevel="0" max="2" min="2" style="71" width="81.39"/>
    <col collapsed="false" customWidth="true" hidden="false" outlineLevel="0" max="3" min="3" style="71" width="16.01"/>
    <col collapsed="false" customWidth="true" hidden="false" outlineLevel="0" max="4" min="4" style="71" width="9.15"/>
    <col collapsed="false" customWidth="true" hidden="false" outlineLevel="0" max="5" min="5" style="71" width="15.07"/>
    <col collapsed="false" customWidth="true" hidden="false" outlineLevel="0" max="6" min="6" style="71" width="26.23"/>
    <col collapsed="false" customWidth="true" hidden="false" outlineLevel="0" max="7" min="7" style="71" width="9.57"/>
    <col collapsed="false" customWidth="true" hidden="false" outlineLevel="0" max="8" min="8" style="71" width="25.32"/>
    <col collapsed="false" customWidth="true" hidden="false" outlineLevel="0" max="10" min="9" style="71" width="16"/>
    <col collapsed="false" customWidth="true" hidden="false" outlineLevel="0" max="11" min="11" style="71" width="2.55"/>
    <col collapsed="false" customWidth="false" hidden="false" outlineLevel="0" max="16384" min="12" style="71" width="8.68"/>
  </cols>
  <sheetData>
    <row r="1" customFormat="false" ht="15" hidden="false" customHeight="false" outlineLevel="0" collapsed="false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15.65" hidden="false" customHeight="false" outlineLevel="0" collapsed="false">
      <c r="A2" s="27"/>
      <c r="B2" s="49" t="s">
        <v>168</v>
      </c>
      <c r="C2" s="27"/>
      <c r="D2" s="27"/>
      <c r="E2" s="27"/>
      <c r="F2" s="27"/>
      <c r="G2" s="27"/>
      <c r="H2" s="27"/>
      <c r="I2" s="27"/>
      <c r="J2" s="27"/>
      <c r="K2" s="27"/>
    </row>
    <row r="3" customFormat="false" ht="15" hidden="false" customHeight="false" outlineLevel="0" collapsed="false">
      <c r="A3" s="27"/>
      <c r="B3" s="49"/>
      <c r="C3" s="27"/>
      <c r="D3" s="27"/>
      <c r="E3" s="27"/>
      <c r="F3" s="27"/>
      <c r="G3" s="27"/>
      <c r="H3" s="27"/>
      <c r="I3" s="27"/>
      <c r="J3" s="27"/>
      <c r="K3" s="27"/>
    </row>
    <row r="4" customFormat="false" ht="23.1" hidden="false" customHeight="false" outlineLevel="0" collapsed="false">
      <c r="A4" s="27"/>
      <c r="B4" s="72" t="s">
        <v>169</v>
      </c>
      <c r="C4" s="27"/>
      <c r="D4" s="27"/>
      <c r="E4" s="27"/>
      <c r="F4" s="27"/>
      <c r="G4" s="27"/>
      <c r="H4" s="27"/>
      <c r="I4" s="27"/>
      <c r="J4" s="27"/>
      <c r="K4" s="27"/>
    </row>
    <row r="5" customFormat="false" ht="15" hidden="false" customHeight="false" outlineLevel="0" collapsed="false">
      <c r="A5" s="27"/>
      <c r="B5" s="15" t="s">
        <v>2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false" outlineLevel="0" collapsed="false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</row>
    <row r="7" customFormat="false" ht="87.65" hidden="false" customHeight="false" outlineLevel="0" collapsed="false">
      <c r="A7" s="27"/>
      <c r="B7" s="73" t="s">
        <v>170</v>
      </c>
      <c r="C7" s="27"/>
      <c r="D7" s="27"/>
      <c r="E7" s="27"/>
      <c r="F7" s="27"/>
      <c r="G7" s="27"/>
      <c r="H7" s="27"/>
      <c r="I7" s="27"/>
      <c r="J7" s="27"/>
      <c r="K7" s="27"/>
    </row>
    <row r="8" customFormat="false" ht="15" hidden="false" customHeight="fals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</row>
    <row r="9" customFormat="false" ht="15.65" hidden="false" customHeight="false" outlineLevel="0" collapsed="false">
      <c r="A9" s="27"/>
      <c r="B9" s="74" t="s">
        <v>171</v>
      </c>
      <c r="C9" s="27"/>
      <c r="D9" s="27"/>
      <c r="E9" s="27"/>
      <c r="F9" s="27"/>
      <c r="G9" s="27"/>
      <c r="H9" s="27"/>
      <c r="I9" s="27"/>
      <c r="J9" s="27"/>
      <c r="K9" s="27"/>
    </row>
    <row r="10" customFormat="false" ht="15" hidden="false" customHeight="false" outlineLevel="0" collapsed="false">
      <c r="A10" s="27"/>
      <c r="B10" s="75" t="s">
        <v>8</v>
      </c>
      <c r="C10" s="76" t="s">
        <v>9</v>
      </c>
      <c r="D10" s="77" t="s">
        <v>10</v>
      </c>
      <c r="E10" s="78"/>
      <c r="F10" s="77" t="s">
        <v>47</v>
      </c>
      <c r="G10" s="78"/>
      <c r="H10" s="78"/>
      <c r="I10" s="78"/>
      <c r="J10" s="78"/>
      <c r="K10" s="27"/>
    </row>
    <row r="11" customFormat="false" ht="27.6" hidden="false" customHeight="false" outlineLevel="0" collapsed="false">
      <c r="A11" s="27"/>
      <c r="B11" s="47" t="s">
        <v>172</v>
      </c>
      <c r="C11" s="43" t="n">
        <f aca="false">'Class-E Calculator'!C18</f>
        <v>7</v>
      </c>
      <c r="D11" s="33" t="s">
        <v>16</v>
      </c>
      <c r="E11" s="27"/>
      <c r="F11" s="79" t="s">
        <v>173</v>
      </c>
      <c r="G11" s="27"/>
      <c r="H11" s="27"/>
      <c r="I11" s="27"/>
      <c r="J11" s="27"/>
      <c r="K11" s="27"/>
    </row>
    <row r="12" customFormat="false" ht="92.9" hidden="false" customHeight="false" outlineLevel="0" collapsed="false">
      <c r="A12" s="27"/>
      <c r="B12" s="47" t="s">
        <v>174</v>
      </c>
      <c r="C12" s="48" t="n">
        <f aca="false">'Class-E Calculator'!C42</f>
        <v>32.289222500631</v>
      </c>
      <c r="D12" s="33" t="s">
        <v>22</v>
      </c>
      <c r="E12" s="27"/>
      <c r="F12" s="79" t="s">
        <v>175</v>
      </c>
      <c r="G12" s="27"/>
      <c r="H12" s="27"/>
      <c r="I12" s="27"/>
      <c r="J12" s="27"/>
      <c r="K12" s="27"/>
    </row>
    <row r="13" customFormat="false" ht="27.6" hidden="false" customHeight="false" outlineLevel="0" collapsed="false">
      <c r="A13" s="27"/>
      <c r="B13" s="47" t="s">
        <v>176</v>
      </c>
      <c r="C13" s="43" t="n">
        <f aca="false">'Class-E Calculator'!C25</f>
        <v>50</v>
      </c>
      <c r="D13" s="33" t="s">
        <v>22</v>
      </c>
      <c r="E13" s="27"/>
      <c r="F13" s="79" t="s">
        <v>177</v>
      </c>
      <c r="G13" s="27"/>
      <c r="H13" s="27"/>
      <c r="I13" s="27"/>
      <c r="J13" s="27"/>
      <c r="K13" s="27"/>
    </row>
    <row r="14" customFormat="false" ht="27.6" hidden="false" customHeight="false" outlineLevel="0" collapsed="false">
      <c r="A14" s="27"/>
      <c r="B14" s="47" t="s">
        <v>178</v>
      </c>
      <c r="C14" s="43" t="n">
        <f aca="false">'Class-E Calculator'!C16</f>
        <v>5</v>
      </c>
      <c r="D14" s="33" t="s">
        <v>12</v>
      </c>
      <c r="E14" s="27"/>
      <c r="F14" s="79" t="s">
        <v>179</v>
      </c>
      <c r="G14" s="27"/>
      <c r="H14" s="27"/>
      <c r="I14" s="27"/>
      <c r="J14" s="27"/>
      <c r="K14" s="27"/>
    </row>
    <row r="15" customFormat="false" ht="27.6" hidden="false" customHeight="false" outlineLevel="0" collapsed="false">
      <c r="A15" s="27"/>
      <c r="B15" s="47" t="s">
        <v>180</v>
      </c>
      <c r="C15" s="43" t="n">
        <f aca="false">'Class-E Calculator'!C17</f>
        <v>0.4</v>
      </c>
      <c r="D15" s="33" t="s">
        <v>14</v>
      </c>
      <c r="E15" s="27"/>
      <c r="F15" s="79" t="s">
        <v>181</v>
      </c>
      <c r="G15" s="27"/>
      <c r="H15" s="27"/>
      <c r="I15" s="27"/>
      <c r="J15" s="27"/>
      <c r="K15" s="27"/>
    </row>
    <row r="16" customFormat="false" ht="15" hidden="false" customHeight="false" outlineLevel="0" collapsed="false">
      <c r="A16" s="27"/>
      <c r="B16" s="80"/>
      <c r="C16" s="81"/>
      <c r="D16" s="27"/>
      <c r="E16" s="27"/>
      <c r="F16" s="27"/>
      <c r="G16" s="27"/>
      <c r="H16" s="27"/>
      <c r="I16" s="27"/>
      <c r="J16" s="27"/>
      <c r="K16" s="27"/>
    </row>
    <row r="17" customFormat="false" ht="23.1" hidden="false" customHeight="false" outlineLevel="0" collapsed="false">
      <c r="A17" s="27"/>
      <c r="B17" s="49" t="s">
        <v>46</v>
      </c>
      <c r="C17" s="81"/>
      <c r="D17" s="27"/>
      <c r="E17" s="27"/>
      <c r="F17" s="72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n=02 — Valid range, verify with LTspice.</v>
      </c>
      <c r="G17" s="27"/>
      <c r="H17" s="27"/>
      <c r="I17" s="27"/>
      <c r="J17" s="27"/>
      <c r="K17" s="27"/>
    </row>
    <row r="18" customFormat="false" ht="15" hidden="false" customHeight="false" outlineLevel="0" collapsed="false">
      <c r="A18" s="27"/>
      <c r="B18" s="75" t="s">
        <v>8</v>
      </c>
      <c r="C18" s="76" t="s">
        <v>9</v>
      </c>
      <c r="D18" s="77" t="s">
        <v>10</v>
      </c>
      <c r="E18" s="77"/>
      <c r="F18" s="77" t="s">
        <v>47</v>
      </c>
      <c r="G18" s="78"/>
      <c r="H18" s="78"/>
      <c r="I18" s="78"/>
      <c r="J18" s="78"/>
      <c r="K18" s="27"/>
    </row>
    <row r="19" customFormat="false" ht="53.7" hidden="false" customHeight="false" outlineLevel="0" collapsed="false">
      <c r="A19" s="27"/>
      <c r="B19" s="47" t="s">
        <v>131</v>
      </c>
      <c r="C19" s="82" t="n">
        <f aca="false">1.4*C11</f>
        <v>9.8</v>
      </c>
      <c r="D19" s="33" t="s">
        <v>16</v>
      </c>
      <c r="E19" s="27"/>
      <c r="F19" s="79" t="s">
        <v>182</v>
      </c>
      <c r="G19" s="27"/>
      <c r="H19" s="27"/>
      <c r="I19" s="27"/>
      <c r="J19" s="27"/>
      <c r="K19" s="27"/>
    </row>
    <row r="20" customFormat="false" ht="15" hidden="false" customHeight="false" outlineLevel="0" collapsed="false">
      <c r="A20" s="27"/>
      <c r="B20" s="47" t="s">
        <v>133</v>
      </c>
      <c r="C20" s="82" t="n">
        <f aca="false">2*PI()*C19*1000000</f>
        <v>61575216.0103599</v>
      </c>
      <c r="D20" s="33" t="s">
        <v>49</v>
      </c>
      <c r="E20" s="27"/>
      <c r="F20" s="27"/>
      <c r="G20" s="27"/>
      <c r="H20" s="27"/>
      <c r="I20" s="27"/>
      <c r="J20" s="27"/>
      <c r="K20" s="27"/>
    </row>
    <row r="21" customFormat="false" ht="92.9" hidden="false" customHeight="false" outlineLevel="0" collapsed="false">
      <c r="A21" s="27"/>
      <c r="B21" s="47" t="s">
        <v>183</v>
      </c>
      <c r="C21" s="82" t="n">
        <f aca="false">C13/C12</f>
        <v>1.54850430353419</v>
      </c>
      <c r="D21" s="33" t="s">
        <v>18</v>
      </c>
      <c r="E21" s="27"/>
      <c r="F21" s="79" t="s">
        <v>184</v>
      </c>
      <c r="G21" s="27"/>
      <c r="H21" s="27"/>
      <c r="I21" s="27"/>
      <c r="J21" s="27"/>
      <c r="K21" s="27"/>
    </row>
    <row r="22" customFormat="false" ht="132" hidden="false" customHeight="false" outlineLevel="0" collapsed="false">
      <c r="A22" s="27"/>
      <c r="B22" s="47" t="s">
        <v>185</v>
      </c>
      <c r="C22" s="83" t="n">
        <f aca="false">SQRT(C12*C13)</f>
        <v>40.1803574527598</v>
      </c>
      <c r="D22" s="33" t="s">
        <v>22</v>
      </c>
      <c r="E22" s="27"/>
      <c r="F22" s="79" t="s">
        <v>186</v>
      </c>
      <c r="G22" s="27"/>
      <c r="H22" s="27"/>
      <c r="I22" s="27"/>
      <c r="J22" s="27"/>
      <c r="K22" s="27"/>
    </row>
    <row r="23" customFormat="false" ht="53.7" hidden="false" customHeight="false" outlineLevel="0" collapsed="false">
      <c r="A23" s="27"/>
      <c r="B23" s="47" t="s">
        <v>187</v>
      </c>
      <c r="C23" s="84" t="n">
        <f aca="false">3.562*C14</f>
        <v>17.81</v>
      </c>
      <c r="D23" s="33" t="s">
        <v>12</v>
      </c>
      <c r="E23" s="27"/>
      <c r="F23" s="79" t="s">
        <v>188</v>
      </c>
      <c r="G23" s="27"/>
      <c r="H23" s="27"/>
      <c r="I23" s="27"/>
      <c r="J23" s="27"/>
      <c r="K23" s="27"/>
    </row>
    <row r="24" customFormat="false" ht="66.75" hidden="false" customHeight="false" outlineLevel="0" collapsed="false">
      <c r="A24" s="27"/>
      <c r="B24" s="47" t="s">
        <v>189</v>
      </c>
      <c r="C24" s="83" t="n">
        <f aca="false">SQRT(C15/C13)</f>
        <v>0.0894427190999916</v>
      </c>
      <c r="D24" s="33" t="s">
        <v>54</v>
      </c>
      <c r="E24" s="27"/>
      <c r="F24" s="79" t="s">
        <v>190</v>
      </c>
      <c r="G24" s="27"/>
      <c r="H24" s="27"/>
      <c r="I24" s="27"/>
      <c r="J24" s="27"/>
      <c r="K24" s="27"/>
    </row>
    <row r="25" customFormat="false" ht="15" hidden="false" customHeight="false" outlineLevel="0" collapsed="false">
      <c r="A25" s="27"/>
      <c r="B25" s="80"/>
      <c r="C25" s="81"/>
      <c r="D25" s="27"/>
      <c r="E25" s="27"/>
      <c r="F25" s="27"/>
      <c r="G25" s="27"/>
      <c r="H25" s="27"/>
      <c r="I25" s="27"/>
      <c r="J25" s="27"/>
      <c r="K25" s="27"/>
    </row>
    <row r="26" customFormat="false" ht="29.85" hidden="false" customHeight="false" outlineLevel="0" collapsed="false">
      <c r="A26" s="27"/>
      <c r="B26" s="49" t="s">
        <v>191</v>
      </c>
      <c r="C26" s="81"/>
      <c r="D26" s="27"/>
      <c r="E26" s="27"/>
      <c r="F26" s="19"/>
      <c r="G26" s="27"/>
      <c r="H26" s="27"/>
      <c r="I26" s="27"/>
      <c r="J26" s="27"/>
      <c r="K26" s="27"/>
    </row>
    <row r="27" customFormat="false" ht="15" hidden="false" customHeight="false" outlineLevel="0" collapsed="false">
      <c r="A27" s="27"/>
      <c r="B27" s="75" t="s">
        <v>8</v>
      </c>
      <c r="C27" s="76" t="s">
        <v>9</v>
      </c>
      <c r="D27" s="76" t="s">
        <v>10</v>
      </c>
      <c r="E27" s="77" t="s">
        <v>59</v>
      </c>
      <c r="F27" s="77" t="s">
        <v>47</v>
      </c>
      <c r="G27" s="78"/>
      <c r="H27" s="78"/>
      <c r="I27" s="78"/>
      <c r="J27" s="78"/>
      <c r="K27" s="27"/>
    </row>
    <row r="28" customFormat="false" ht="53.7" hidden="false" customHeight="false" outlineLevel="0" collapsed="false">
      <c r="A28" s="27"/>
      <c r="B28" s="47" t="s">
        <v>192</v>
      </c>
      <c r="C28" s="82" t="n">
        <f aca="false">IF(C21&gt;3,"⚠ n&gt;3: Use L-network + 50Ω LPF",1.1468*C22/C20)</f>
        <v>7.48334101159665E-007</v>
      </c>
      <c r="D28" s="33" t="s">
        <v>66</v>
      </c>
      <c r="E28" s="27"/>
      <c r="F28" s="79" t="s">
        <v>193</v>
      </c>
      <c r="G28" s="27"/>
      <c r="H28" s="27"/>
      <c r="I28" s="27"/>
      <c r="J28" s="27"/>
      <c r="K28" s="27"/>
    </row>
    <row r="29" customFormat="false" ht="15" hidden="false" customHeight="false" outlineLevel="0" collapsed="false">
      <c r="A29" s="27"/>
      <c r="B29" s="47" t="s">
        <v>138</v>
      </c>
      <c r="C29" s="83" t="n">
        <f aca="false">IF(ISNUMBER(C28),C28*1000000,C28)</f>
        <v>0.748334101159666</v>
      </c>
      <c r="D29" s="33" t="s">
        <v>69</v>
      </c>
      <c r="E29" s="33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01 µH</v>
      </c>
      <c r="F29" s="27"/>
      <c r="G29" s="27"/>
      <c r="H29" s="27"/>
      <c r="I29" s="27"/>
      <c r="J29" s="27"/>
      <c r="K29" s="27"/>
    </row>
    <row r="30" customFormat="false" ht="79.5" hidden="false" customHeight="false" outlineLevel="0" collapsed="false">
      <c r="A30" s="27"/>
      <c r="B30" s="47" t="s">
        <v>194</v>
      </c>
      <c r="C30" s="82" t="n">
        <f aca="false">1.3712/(C12*C20)</f>
        <v>6.8966354925944E-010</v>
      </c>
      <c r="D30" s="33" t="s">
        <v>61</v>
      </c>
      <c r="E30" s="27"/>
      <c r="F30" s="79" t="s">
        <v>195</v>
      </c>
      <c r="G30" s="27"/>
      <c r="H30" s="27"/>
      <c r="I30" s="27"/>
      <c r="J30" s="27"/>
      <c r="K30" s="27"/>
    </row>
    <row r="31" customFormat="false" ht="15" hidden="false" customHeight="false" outlineLevel="0" collapsed="false">
      <c r="A31" s="27"/>
      <c r="B31" s="47" t="s">
        <v>141</v>
      </c>
      <c r="C31" s="83" t="n">
        <f aca="false">C30*1000000000000</f>
        <v>689.66354925944</v>
      </c>
      <c r="D31" s="33" t="s">
        <v>30</v>
      </c>
      <c r="E31" s="33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680 pF</v>
      </c>
      <c r="F31" s="27"/>
      <c r="G31" s="27"/>
      <c r="H31" s="27"/>
      <c r="I31" s="27"/>
      <c r="J31" s="27"/>
      <c r="K31" s="27"/>
    </row>
    <row r="32" customFormat="false" ht="53.7" hidden="false" customHeight="false" outlineLevel="0" collapsed="false">
      <c r="A32" s="27"/>
      <c r="B32" s="47" t="s">
        <v>196</v>
      </c>
      <c r="C32" s="82" t="n">
        <f aca="false">IF(C21&gt;3,"⚠ n&gt;3: Use L-network + 50Ω LPF",1.975*C22/C20)</f>
        <v>1.28876861683845E-006</v>
      </c>
      <c r="D32" s="33" t="s">
        <v>66</v>
      </c>
      <c r="E32" s="27"/>
      <c r="F32" s="79" t="s">
        <v>197</v>
      </c>
      <c r="G32" s="27"/>
      <c r="H32" s="27"/>
      <c r="I32" s="27"/>
      <c r="J32" s="27"/>
      <c r="K32" s="27"/>
    </row>
    <row r="33" customFormat="false" ht="15" hidden="false" customHeight="false" outlineLevel="0" collapsed="false">
      <c r="A33" s="27"/>
      <c r="B33" s="47" t="s">
        <v>144</v>
      </c>
      <c r="C33" s="83" t="n">
        <f aca="false">IF(ISNUMBER(C32),C32*1000000,C32)</f>
        <v>1.28876861683845</v>
      </c>
      <c r="D33" s="33" t="s">
        <v>69</v>
      </c>
      <c r="E33" s="33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01 µH</v>
      </c>
      <c r="F33" s="27"/>
      <c r="G33" s="27"/>
      <c r="H33" s="27"/>
      <c r="I33" s="27"/>
      <c r="J33" s="27"/>
      <c r="K33" s="27"/>
    </row>
    <row r="34" customFormat="false" ht="79.5" hidden="false" customHeight="false" outlineLevel="0" collapsed="false">
      <c r="A34" s="27"/>
      <c r="B34" s="47" t="s">
        <v>198</v>
      </c>
      <c r="C34" s="82" t="n">
        <f aca="false">1.3712/(C13*C20)</f>
        <v>4.45373995852259E-010</v>
      </c>
      <c r="D34" s="33" t="s">
        <v>61</v>
      </c>
      <c r="E34" s="27"/>
      <c r="F34" s="79" t="s">
        <v>199</v>
      </c>
      <c r="G34" s="27"/>
      <c r="H34" s="27"/>
      <c r="I34" s="27"/>
      <c r="J34" s="27"/>
      <c r="K34" s="27"/>
    </row>
    <row r="35" customFormat="false" ht="15" hidden="false" customHeight="false" outlineLevel="0" collapsed="false">
      <c r="A35" s="27"/>
      <c r="B35" s="47" t="s">
        <v>147</v>
      </c>
      <c r="C35" s="83" t="n">
        <f aca="false">C34*1000000000000</f>
        <v>445.373995852259</v>
      </c>
      <c r="D35" s="33" t="s">
        <v>30</v>
      </c>
      <c r="E35" s="33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430 pF</v>
      </c>
      <c r="F35" s="27"/>
      <c r="G35" s="27"/>
      <c r="H35" s="27"/>
      <c r="I35" s="27"/>
      <c r="J35" s="27"/>
      <c r="K35" s="27"/>
    </row>
    <row r="36" customFormat="false" ht="92.9" hidden="false" customHeight="false" outlineLevel="0" collapsed="false">
      <c r="A36" s="27"/>
      <c r="B36" s="47" t="s">
        <v>200</v>
      </c>
      <c r="C36" s="82" t="n">
        <f aca="false">IF(C21&gt;3,"⚠ n&gt;3: Use L-network + 50Ω LPF",1.1468*C22/C20)</f>
        <v>7.48334101159665E-007</v>
      </c>
      <c r="D36" s="33" t="s">
        <v>66</v>
      </c>
      <c r="E36" s="27"/>
      <c r="F36" s="79" t="s">
        <v>201</v>
      </c>
      <c r="G36" s="27"/>
      <c r="H36" s="27"/>
      <c r="I36" s="27"/>
      <c r="J36" s="27"/>
      <c r="K36" s="27"/>
    </row>
    <row r="37" customFormat="false" ht="15" hidden="false" customHeight="false" outlineLevel="0" collapsed="false">
      <c r="A37" s="27"/>
      <c r="B37" s="47" t="s">
        <v>150</v>
      </c>
      <c r="C37" s="83" t="n">
        <f aca="false">IF(ISNUMBER(C36),C36*1000000,C36)</f>
        <v>0.748334101159666</v>
      </c>
      <c r="D37" s="33" t="s">
        <v>69</v>
      </c>
      <c r="E37" s="33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01 µH</v>
      </c>
      <c r="F37" s="27"/>
      <c r="G37" s="27"/>
      <c r="H37" s="27"/>
      <c r="I37" s="27"/>
      <c r="J37" s="27"/>
      <c r="K37" s="27"/>
    </row>
    <row r="38" customFormat="false" ht="15" hidden="false" customHeight="false" outlineLevel="0" collapsed="false">
      <c r="A38" s="27"/>
      <c r="B38" s="80"/>
      <c r="C38" s="81"/>
      <c r="D38" s="27"/>
      <c r="E38" s="27"/>
      <c r="F38" s="27"/>
      <c r="G38" s="27"/>
      <c r="H38" s="27"/>
      <c r="I38" s="27"/>
      <c r="J38" s="27"/>
      <c r="K38" s="27"/>
    </row>
    <row r="39" customFormat="false" ht="15.65" hidden="false" customHeight="false" outlineLevel="0" collapsed="false">
      <c r="A39" s="27"/>
      <c r="B39" s="49" t="s">
        <v>110</v>
      </c>
      <c r="C39" s="81"/>
      <c r="D39" s="27"/>
      <c r="E39" s="27"/>
      <c r="F39" s="27"/>
      <c r="G39" s="27"/>
      <c r="H39" s="27"/>
      <c r="I39" s="27"/>
      <c r="J39" s="27"/>
      <c r="K39" s="27"/>
    </row>
    <row r="40" customFormat="false" ht="15" hidden="false" customHeight="false" outlineLevel="0" collapsed="false">
      <c r="A40" s="27"/>
      <c r="B40" s="75" t="s">
        <v>8</v>
      </c>
      <c r="C40" s="76" t="s">
        <v>9</v>
      </c>
      <c r="D40" s="77" t="s">
        <v>10</v>
      </c>
      <c r="E40" s="77"/>
      <c r="F40" s="77" t="s">
        <v>47</v>
      </c>
      <c r="G40" s="78"/>
      <c r="H40" s="78"/>
      <c r="I40" s="78"/>
      <c r="J40" s="78"/>
      <c r="K40" s="27"/>
    </row>
    <row r="41" customFormat="false" ht="40.65" hidden="false" customHeight="false" outlineLevel="0" collapsed="false">
      <c r="A41" s="27"/>
      <c r="B41" s="47" t="s">
        <v>202</v>
      </c>
      <c r="C41" s="84" t="n">
        <f aca="false">-10*LOG10((1+0.02329*(16*(2*C11/C19)^5-20*(2*C11/C19)^3+5*(2*C11/C19))^2)/(1+0.02329*(16*(C11/C19)^5-20*(C11/C19)^3+5*(C11/C19))^2))</f>
        <v>-16.5868689847509</v>
      </c>
      <c r="D41" s="33" t="s">
        <v>152</v>
      </c>
      <c r="E41" s="33" t="str">
        <f aca="false">IF(C41&lt;-50,"✅ Meets IARU −50 dBc",IF(C41&lt;-43,"⚠ Meets FCC −43 dBc only","🚨 Fails FCC −43 dBc"))</f>
        <v>🚨 Fails FCC −43 dBc</v>
      </c>
      <c r="F41" s="79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17 dBc at 2f — insufficient for IARU −50 dBc. Increase filter order or lower fc.</v>
      </c>
      <c r="G41" s="27"/>
      <c r="H41" s="27"/>
      <c r="I41" s="27"/>
      <c r="J41" s="27"/>
      <c r="K41" s="27"/>
    </row>
    <row r="42" customFormat="false" ht="27.6" hidden="false" customHeight="false" outlineLevel="0" collapsed="false">
      <c r="A42" s="27"/>
      <c r="B42" s="47" t="s">
        <v>203</v>
      </c>
      <c r="C42" s="84" t="n">
        <f aca="false">-10*LOG10((1+0.02329*(16*(3*C11/C19)^5-20*(3*C11/C19)^3+5*(3*C11/C19))^2)/(1+0.02329*(16*(C11/C19)^5-20*(C11/C19)^3+5*(C11/C19))^2))</f>
        <v>-38.2137768142439</v>
      </c>
      <c r="D42" s="33" t="s">
        <v>152</v>
      </c>
      <c r="E42" s="33" t="str">
        <f aca="false">IF(C42&lt;-50,"✅ Meets IARU −50 dBc",IF(C42&lt;-43,"⚠ FCC only","🚨 Fails FCC"))</f>
        <v>🚨 Fails FCC</v>
      </c>
      <c r="F42" s="79" t="str">
        <f aca="false">IF(C42&lt;-50,"✅ "&amp;TEXT(ABS(C42),"0.0")&amp;" dBc at 3f — excellent harmonic rejection.","⚠ "&amp;TEXT(ABS(C42),"0.0")&amp;" dBc at 3f — add filter poles for IARU compliance.")</f>
        <v>⚠ 38 dBc at 3f — add filter poles for IARU compliance.</v>
      </c>
      <c r="G42" s="27"/>
      <c r="H42" s="27"/>
      <c r="I42" s="27"/>
      <c r="J42" s="27"/>
      <c r="K42" s="27"/>
    </row>
    <row r="43" customFormat="false" ht="119" hidden="false" customHeight="false" outlineLevel="0" collapsed="false">
      <c r="A43" s="27"/>
      <c r="B43" s="47" t="s">
        <v>154</v>
      </c>
      <c r="C43" s="81"/>
      <c r="D43" s="27"/>
      <c r="E43" s="27"/>
      <c r="F43" s="79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(Q=0,74×). When using this LPF direct-coupled sheet, connect the LPF directly to the drain WITHOUT the main-sheet L-network. The two approaches are alternatives, not series.</v>
      </c>
      <c r="G43" s="27"/>
      <c r="H43" s="27"/>
      <c r="I43" s="27"/>
      <c r="J43" s="27"/>
      <c r="K43" s="27"/>
    </row>
    <row r="44" customFormat="false" ht="15" hidden="false" customHeight="false" outlineLevel="0" collapsed="false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</row>
    <row r="45" customFormat="false" ht="15" hidden="false" customHeight="false" outlineLevel="0" collapsed="false">
      <c r="B45" s="85"/>
    </row>
    <row r="46" customFormat="false" ht="15" hidden="false" customHeight="false" outlineLevel="0" collapsed="false">
      <c r="B46" s="86"/>
    </row>
    <row r="47" customFormat="false" ht="15" hidden="false" customHeight="false" outlineLevel="0" collapsed="false">
      <c r="B47" s="86"/>
    </row>
    <row r="48" customFormat="false" ht="15" hidden="false" customHeight="false" outlineLevel="0" collapsed="false">
      <c r="B48" s="86"/>
    </row>
    <row r="49" customFormat="false" ht="15" hidden="false" customHeight="false" outlineLevel="0" collapsed="false">
      <c r="B49" s="86"/>
    </row>
    <row r="50" customFormat="false" ht="15" hidden="false" customHeight="false" outlineLevel="0" collapsed="false">
      <c r="B50" s="86"/>
    </row>
    <row r="51" customFormat="false" ht="15" hidden="false" customHeight="false" outlineLevel="0" collapsed="false">
      <c r="B51" s="8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L10" activeCellId="0" sqref="L10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87" width="11.73"/>
    <col collapsed="false" customWidth="true" hidden="false" outlineLevel="0" max="2" min="2" style="87" width="9.18"/>
    <col collapsed="false" customWidth="true" hidden="false" outlineLevel="0" max="3" min="3" style="87" width="8.99"/>
    <col collapsed="false" customWidth="true" hidden="false" outlineLevel="0" max="4" min="4" style="87" width="4.33"/>
    <col collapsed="false" customWidth="true" hidden="false" outlineLevel="0" max="5" min="5" style="87" width="9.91"/>
    <col collapsed="false" customWidth="true" hidden="false" outlineLevel="0" max="6" min="6" style="87" width="9.19"/>
    <col collapsed="false" customWidth="false" hidden="false" outlineLevel="0" max="7" min="7" style="87" width="8.65"/>
    <col collapsed="false" customWidth="true" hidden="false" outlineLevel="0" max="8" min="8" style="87" width="5.32"/>
    <col collapsed="false" customWidth="true" hidden="false" outlineLevel="0" max="9" min="9" style="87" width="10.06"/>
    <col collapsed="false" customWidth="true" hidden="false" outlineLevel="0" max="10" min="10" style="87" width="11.71"/>
    <col collapsed="false" customWidth="true" hidden="false" outlineLevel="0" max="11" min="11" style="87" width="17.88"/>
    <col collapsed="false" customWidth="true" hidden="false" outlineLevel="0" max="12" min="12" style="87" width="40.06"/>
    <col collapsed="false" customWidth="true" hidden="false" outlineLevel="0" max="13" min="13" style="87" width="8.58"/>
    <col collapsed="false" customWidth="true" hidden="false" outlineLevel="0" max="14" min="14" style="87" width="10.59"/>
    <col collapsed="false" customWidth="false" hidden="false" outlineLevel="0" max="15" min="15" style="87" width="8.64"/>
    <col collapsed="false" customWidth="true" hidden="false" outlineLevel="0" max="16" min="16" style="87" width="11.53"/>
    <col collapsed="false" customWidth="true" hidden="false" outlineLevel="0" max="17" min="17" style="87" width="10.97"/>
    <col collapsed="false" customWidth="false" hidden="false" outlineLevel="0" max="257" min="18" style="87" width="8.64"/>
  </cols>
  <sheetData>
    <row r="1" customFormat="false" ht="15" hidden="false" customHeight="true" outlineLevel="0" collapsed="false">
      <c r="A1" s="88" t="s">
        <v>204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89"/>
      <c r="N1" s="89"/>
      <c r="O1" s="89"/>
      <c r="P1" s="89"/>
      <c r="Q1" s="89"/>
    </row>
    <row r="2" customFormat="false" ht="15" hidden="false" customHeight="true" outlineLevel="0" collapsed="false">
      <c r="A2" s="90"/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89"/>
      <c r="N2" s="89"/>
      <c r="O2" s="89"/>
      <c r="P2" s="89"/>
      <c r="Q2" s="89"/>
    </row>
    <row r="3" customFormat="false" ht="218.25" hidden="false" customHeight="true" outlineLevel="0" collapsed="false">
      <c r="A3" s="92" t="s">
        <v>205</v>
      </c>
      <c r="B3" s="93" t="s">
        <v>206</v>
      </c>
      <c r="C3" s="94" t="s">
        <v>207</v>
      </c>
      <c r="D3" s="94" t="s">
        <v>208</v>
      </c>
      <c r="E3" s="94" t="s">
        <v>209</v>
      </c>
      <c r="F3" s="94" t="s">
        <v>210</v>
      </c>
      <c r="G3" s="94" t="s">
        <v>211</v>
      </c>
      <c r="H3" s="94" t="s">
        <v>212</v>
      </c>
      <c r="I3" s="94" t="s">
        <v>213</v>
      </c>
      <c r="J3" s="94" t="s">
        <v>214</v>
      </c>
      <c r="K3" s="94" t="s">
        <v>215</v>
      </c>
      <c r="L3" s="92" t="s">
        <v>216</v>
      </c>
      <c r="M3" s="95" t="s">
        <v>217</v>
      </c>
      <c r="N3" s="78" t="s">
        <v>218</v>
      </c>
      <c r="O3" s="78" t="s">
        <v>219</v>
      </c>
      <c r="P3" s="96" t="s">
        <v>220</v>
      </c>
      <c r="Q3" s="97" t="s">
        <v>221</v>
      </c>
    </row>
    <row r="4" customFormat="false" ht="22.5" hidden="false" customHeight="true" outlineLevel="0" collapsed="false">
      <c r="A4" s="98" t="s">
        <v>5</v>
      </c>
      <c r="B4" s="99" t="s">
        <v>222</v>
      </c>
      <c r="C4" s="99" t="n">
        <v>60</v>
      </c>
      <c r="D4" s="99" t="n">
        <v>0.5</v>
      </c>
      <c r="E4" s="99" t="n">
        <v>5</v>
      </c>
      <c r="F4" s="99" t="n">
        <v>60</v>
      </c>
      <c r="G4" s="99" t="n">
        <v>12</v>
      </c>
      <c r="H4" s="99" t="n">
        <v>0.83</v>
      </c>
      <c r="I4" s="99" t="n">
        <v>300</v>
      </c>
      <c r="J4" s="99" t="s">
        <v>223</v>
      </c>
      <c r="K4" s="99" t="s">
        <v>224</v>
      </c>
      <c r="L4" s="14" t="s">
        <v>225</v>
      </c>
      <c r="M4" s="99" t="n">
        <v>150</v>
      </c>
      <c r="N4" s="19" t="s">
        <v>226</v>
      </c>
      <c r="O4" s="19" t="n">
        <v>0.4</v>
      </c>
      <c r="P4" s="6" t="s">
        <v>227</v>
      </c>
      <c r="Q4" s="6" t="n">
        <v>2</v>
      </c>
    </row>
    <row r="5" customFormat="false" ht="22.5" hidden="false" customHeight="true" outlineLevel="0" collapsed="false">
      <c r="A5" s="98" t="s">
        <v>228</v>
      </c>
      <c r="B5" s="99" t="s">
        <v>222</v>
      </c>
      <c r="C5" s="99" t="n">
        <v>60</v>
      </c>
      <c r="D5" s="99" t="n">
        <v>0.2</v>
      </c>
      <c r="E5" s="99" t="n">
        <v>5.3</v>
      </c>
      <c r="F5" s="99" t="n">
        <v>50</v>
      </c>
      <c r="G5" s="99" t="n">
        <v>10</v>
      </c>
      <c r="H5" s="99" t="n">
        <v>0.4</v>
      </c>
      <c r="I5" s="99" t="n">
        <v>200</v>
      </c>
      <c r="J5" s="99" t="s">
        <v>229</v>
      </c>
      <c r="K5" s="99" t="s">
        <v>230</v>
      </c>
      <c r="L5" s="14" t="s">
        <v>231</v>
      </c>
      <c r="M5" s="99" t="n">
        <v>150</v>
      </c>
      <c r="N5" s="19" t="s">
        <v>232</v>
      </c>
      <c r="O5" s="19" t="n">
        <v>0.4</v>
      </c>
      <c r="P5" s="6" t="s">
        <v>227</v>
      </c>
      <c r="Q5" s="6" t="n">
        <v>2</v>
      </c>
    </row>
    <row r="6" customFormat="false" ht="22.5" hidden="false" customHeight="true" outlineLevel="0" collapsed="false">
      <c r="A6" s="98" t="s">
        <v>233</v>
      </c>
      <c r="B6" s="99" t="s">
        <v>234</v>
      </c>
      <c r="C6" s="99" t="n">
        <v>100</v>
      </c>
      <c r="D6" s="99" t="n">
        <v>5.6</v>
      </c>
      <c r="E6" s="99" t="n">
        <v>0.54</v>
      </c>
      <c r="F6" s="99" t="n">
        <v>135</v>
      </c>
      <c r="G6" s="99" t="n">
        <v>100</v>
      </c>
      <c r="H6" s="99" t="n">
        <v>43</v>
      </c>
      <c r="I6" s="99" t="n">
        <v>50</v>
      </c>
      <c r="J6" s="99" t="s">
        <v>235</v>
      </c>
      <c r="K6" s="99" t="s">
        <v>236</v>
      </c>
      <c r="L6" s="14" t="s">
        <v>237</v>
      </c>
      <c r="M6" s="99" t="n">
        <v>150</v>
      </c>
      <c r="N6" s="19" t="s">
        <v>238</v>
      </c>
      <c r="O6" s="19" t="n">
        <v>0.35</v>
      </c>
      <c r="P6" s="6" t="s">
        <v>239</v>
      </c>
      <c r="Q6" s="6" t="n">
        <v>2.3</v>
      </c>
    </row>
    <row r="7" customFormat="false" ht="22.5" hidden="false" customHeight="true" outlineLevel="0" collapsed="false">
      <c r="A7" s="98" t="s">
        <v>240</v>
      </c>
      <c r="B7" s="99" t="s">
        <v>234</v>
      </c>
      <c r="C7" s="99" t="n">
        <v>100</v>
      </c>
      <c r="D7" s="99" t="n">
        <v>9.2</v>
      </c>
      <c r="E7" s="99" t="n">
        <v>0.27</v>
      </c>
      <c r="F7" s="99" t="n">
        <v>180</v>
      </c>
      <c r="G7" s="99" t="n">
        <v>135</v>
      </c>
      <c r="H7" s="99" t="n">
        <v>50</v>
      </c>
      <c r="I7" s="99" t="n">
        <v>50</v>
      </c>
      <c r="J7" s="99" t="s">
        <v>241</v>
      </c>
      <c r="K7" s="99" t="s">
        <v>236</v>
      </c>
      <c r="L7" s="14" t="s">
        <v>242</v>
      </c>
      <c r="M7" s="99" t="n">
        <v>150</v>
      </c>
      <c r="N7" s="19" t="s">
        <v>238</v>
      </c>
      <c r="O7" s="19" t="n">
        <v>0.35</v>
      </c>
      <c r="P7" s="6" t="s">
        <v>239</v>
      </c>
      <c r="Q7" s="6" t="n">
        <v>2.3</v>
      </c>
    </row>
    <row r="8" customFormat="false" ht="22.5" hidden="false" customHeight="true" outlineLevel="0" collapsed="false">
      <c r="A8" s="98" t="s">
        <v>243</v>
      </c>
      <c r="B8" s="99" t="s">
        <v>234</v>
      </c>
      <c r="C8" s="99" t="n">
        <v>100</v>
      </c>
      <c r="D8" s="99" t="n">
        <v>14</v>
      </c>
      <c r="E8" s="99" t="n">
        <v>0.18</v>
      </c>
      <c r="F8" s="99" t="n">
        <v>400</v>
      </c>
      <c r="G8" s="99" t="n">
        <v>260</v>
      </c>
      <c r="H8" s="99" t="n">
        <v>88</v>
      </c>
      <c r="I8" s="99" t="n">
        <v>50</v>
      </c>
      <c r="J8" s="99" t="s">
        <v>244</v>
      </c>
      <c r="K8" s="99" t="s">
        <v>245</v>
      </c>
      <c r="L8" s="14" t="s">
        <v>246</v>
      </c>
      <c r="M8" s="99" t="n">
        <v>150</v>
      </c>
      <c r="N8" s="19" t="s">
        <v>238</v>
      </c>
      <c r="O8" s="19" t="n">
        <v>0.35</v>
      </c>
      <c r="P8" s="6" t="s">
        <v>239</v>
      </c>
      <c r="Q8" s="6" t="n">
        <v>2.3</v>
      </c>
    </row>
    <row r="9" customFormat="false" ht="22.5" hidden="false" customHeight="true" outlineLevel="0" collapsed="false">
      <c r="A9" s="98" t="s">
        <v>247</v>
      </c>
      <c r="B9" s="99" t="s">
        <v>234</v>
      </c>
      <c r="C9" s="99" t="n">
        <v>100</v>
      </c>
      <c r="D9" s="99" t="n">
        <v>28</v>
      </c>
      <c r="E9" s="99" t="n">
        <v>0.077</v>
      </c>
      <c r="F9" s="99" t="n">
        <v>800</v>
      </c>
      <c r="G9" s="99" t="n">
        <v>450</v>
      </c>
      <c r="H9" s="99" t="n">
        <v>150</v>
      </c>
      <c r="I9" s="99" t="n">
        <v>40</v>
      </c>
      <c r="J9" s="99" t="s">
        <v>248</v>
      </c>
      <c r="K9" s="99" t="s">
        <v>249</v>
      </c>
      <c r="L9" s="14" t="s">
        <v>250</v>
      </c>
      <c r="M9" s="99" t="n">
        <v>150</v>
      </c>
      <c r="N9" s="19" t="s">
        <v>238</v>
      </c>
      <c r="O9" s="19" t="n">
        <v>0.35</v>
      </c>
      <c r="P9" s="6" t="s">
        <v>239</v>
      </c>
      <c r="Q9" s="6" t="n">
        <v>2.3</v>
      </c>
    </row>
    <row r="10" customFormat="false" ht="22.5" hidden="false" customHeight="true" outlineLevel="0" collapsed="false">
      <c r="A10" s="98" t="s">
        <v>251</v>
      </c>
      <c r="B10" s="99" t="s">
        <v>234</v>
      </c>
      <c r="C10" s="99" t="n">
        <v>55</v>
      </c>
      <c r="D10" s="99" t="n">
        <v>49</v>
      </c>
      <c r="E10" s="99" t="n">
        <v>0.028</v>
      </c>
      <c r="F10" s="99" t="n">
        <v>3050</v>
      </c>
      <c r="G10" s="99" t="n">
        <v>930</v>
      </c>
      <c r="H10" s="99" t="n">
        <v>107</v>
      </c>
      <c r="I10" s="99" t="n">
        <v>30</v>
      </c>
      <c r="J10" s="99" t="s">
        <v>252</v>
      </c>
      <c r="K10" s="99" t="s">
        <v>253</v>
      </c>
      <c r="L10" s="14" t="s">
        <v>254</v>
      </c>
      <c r="M10" s="99" t="n">
        <v>150</v>
      </c>
      <c r="N10" s="19" t="s">
        <v>238</v>
      </c>
      <c r="O10" s="19" t="n">
        <v>0.35</v>
      </c>
      <c r="P10" s="6" t="s">
        <v>239</v>
      </c>
      <c r="Q10" s="6" t="n">
        <v>2.3</v>
      </c>
    </row>
    <row r="11" customFormat="false" ht="22.5" hidden="false" customHeight="true" outlineLevel="0" collapsed="false">
      <c r="A11" s="98" t="s">
        <v>255</v>
      </c>
      <c r="B11" s="99" t="s">
        <v>234</v>
      </c>
      <c r="C11" s="99" t="n">
        <v>100</v>
      </c>
      <c r="D11" s="99" t="n">
        <v>13</v>
      </c>
      <c r="E11" s="99" t="n">
        <v>0.18</v>
      </c>
      <c r="F11" s="99" t="n">
        <v>1060</v>
      </c>
      <c r="G11" s="99" t="n">
        <v>380</v>
      </c>
      <c r="H11" s="99" t="n">
        <v>88</v>
      </c>
      <c r="I11" s="99" t="n">
        <v>60</v>
      </c>
      <c r="J11" s="99" t="s">
        <v>256</v>
      </c>
      <c r="K11" s="99" t="s">
        <v>245</v>
      </c>
      <c r="L11" s="14" t="s">
        <v>257</v>
      </c>
      <c r="M11" s="99" t="n">
        <v>150</v>
      </c>
      <c r="N11" s="19" t="s">
        <v>238</v>
      </c>
      <c r="O11" s="19" t="n">
        <v>0.35</v>
      </c>
      <c r="P11" s="6" t="s">
        <v>239</v>
      </c>
      <c r="Q11" s="6" t="n">
        <v>2.3</v>
      </c>
    </row>
    <row r="12" customFormat="false" ht="22.5" hidden="false" customHeight="true" outlineLevel="0" collapsed="false">
      <c r="A12" s="98" t="s">
        <v>258</v>
      </c>
      <c r="B12" s="99" t="s">
        <v>259</v>
      </c>
      <c r="C12" s="99" t="n">
        <v>50</v>
      </c>
      <c r="D12" s="99" t="n">
        <v>5.5</v>
      </c>
      <c r="E12" s="99" t="s">
        <v>18</v>
      </c>
      <c r="F12" s="99" t="n">
        <v>80</v>
      </c>
      <c r="G12" s="99" t="n">
        <v>15</v>
      </c>
      <c r="H12" s="99" t="n">
        <v>25</v>
      </c>
      <c r="I12" s="99" t="n">
        <v>520</v>
      </c>
      <c r="J12" s="99" t="s">
        <v>260</v>
      </c>
      <c r="K12" s="99" t="s">
        <v>261</v>
      </c>
      <c r="L12" s="14" t="s">
        <v>262</v>
      </c>
      <c r="M12" s="99" t="n">
        <v>200</v>
      </c>
      <c r="N12" s="19" t="s">
        <v>263</v>
      </c>
      <c r="O12" s="19" t="n">
        <v>0.85</v>
      </c>
      <c r="P12" s="6" t="s">
        <v>264</v>
      </c>
      <c r="Q12" s="6" t="n">
        <v>2.3</v>
      </c>
    </row>
    <row r="13" customFormat="false" ht="22.5" hidden="false" customHeight="true" outlineLevel="0" collapsed="false">
      <c r="A13" s="98" t="s">
        <v>265</v>
      </c>
      <c r="B13" s="99" t="s">
        <v>259</v>
      </c>
      <c r="C13" s="99" t="n">
        <v>50</v>
      </c>
      <c r="D13" s="99" t="n">
        <v>2</v>
      </c>
      <c r="E13" s="99" t="s">
        <v>18</v>
      </c>
      <c r="F13" s="99" t="n">
        <v>44</v>
      </c>
      <c r="G13" s="99" t="n">
        <v>9</v>
      </c>
      <c r="H13" s="99" t="n">
        <v>12.5</v>
      </c>
      <c r="I13" s="99" t="n">
        <v>520</v>
      </c>
      <c r="J13" s="99" t="s">
        <v>266</v>
      </c>
      <c r="K13" s="99" t="s">
        <v>261</v>
      </c>
      <c r="L13" s="14" t="s">
        <v>267</v>
      </c>
      <c r="M13" s="99" t="n">
        <v>200</v>
      </c>
      <c r="N13" s="19" t="s">
        <v>263</v>
      </c>
      <c r="O13" s="19" t="n">
        <v>0.85</v>
      </c>
      <c r="P13" s="6" t="s">
        <v>264</v>
      </c>
      <c r="Q13" s="6" t="n">
        <v>2.3</v>
      </c>
    </row>
    <row r="14" customFormat="false" ht="22.5" hidden="false" customHeight="true" outlineLevel="0" collapsed="false">
      <c r="A14" s="98" t="s">
        <v>268</v>
      </c>
      <c r="B14" s="99" t="s">
        <v>269</v>
      </c>
      <c r="C14" s="99" t="n">
        <v>65</v>
      </c>
      <c r="D14" s="99" t="n">
        <v>40</v>
      </c>
      <c r="E14" s="99" t="s">
        <v>18</v>
      </c>
      <c r="F14" s="99" t="n">
        <v>120</v>
      </c>
      <c r="G14" s="99" t="n">
        <v>25</v>
      </c>
      <c r="H14" s="99" t="n">
        <v>250</v>
      </c>
      <c r="I14" s="99" t="n">
        <v>600</v>
      </c>
      <c r="J14" s="99" t="s">
        <v>270</v>
      </c>
      <c r="K14" s="99" t="s">
        <v>245</v>
      </c>
      <c r="L14" s="14" t="s">
        <v>271</v>
      </c>
      <c r="M14" s="99" t="n">
        <v>200</v>
      </c>
      <c r="N14" s="19" t="s">
        <v>272</v>
      </c>
      <c r="O14" s="19" t="n">
        <v>0.85</v>
      </c>
      <c r="P14" s="6" t="s">
        <v>264</v>
      </c>
      <c r="Q14" s="6" t="n">
        <v>2.3</v>
      </c>
    </row>
    <row r="15" customFormat="false" ht="44.25" hidden="false" customHeight="true" outlineLevel="0" collapsed="false">
      <c r="A15" s="98" t="s">
        <v>273</v>
      </c>
      <c r="B15" s="99" t="s">
        <v>274</v>
      </c>
      <c r="C15" s="99" t="n">
        <v>500</v>
      </c>
      <c r="D15" s="99" t="n">
        <v>55</v>
      </c>
      <c r="E15" s="99" t="n">
        <v>0.065</v>
      </c>
      <c r="F15" s="99" t="n">
        <v>4900</v>
      </c>
      <c r="G15" s="99" t="n">
        <v>1200</v>
      </c>
      <c r="H15" s="99" t="n">
        <v>500</v>
      </c>
      <c r="I15" s="99" t="n">
        <v>0</v>
      </c>
      <c r="J15" s="99" t="s">
        <v>275</v>
      </c>
      <c r="K15" s="99" t="s">
        <v>276</v>
      </c>
      <c r="L15" s="14" t="s">
        <v>277</v>
      </c>
      <c r="M15" s="99" t="n">
        <v>150</v>
      </c>
      <c r="N15" s="19" t="s">
        <v>238</v>
      </c>
      <c r="O15" s="19" t="n">
        <v>0.35</v>
      </c>
      <c r="P15" s="6" t="s">
        <v>239</v>
      </c>
      <c r="Q15" s="6" t="n">
        <v>2.3</v>
      </c>
    </row>
    <row r="16" customFormat="false" ht="22.5" hidden="false" customHeight="true" outlineLevel="0" collapsed="false">
      <c r="A16" s="98" t="s">
        <v>278</v>
      </c>
      <c r="B16" s="99" t="s">
        <v>234</v>
      </c>
      <c r="C16" s="99" t="n">
        <v>200</v>
      </c>
      <c r="D16" s="99" t="n">
        <v>7</v>
      </c>
      <c r="E16" s="99" t="n">
        <v>0.5</v>
      </c>
      <c r="F16" s="99" t="n">
        <v>450</v>
      </c>
      <c r="G16" s="99" t="n">
        <v>200</v>
      </c>
      <c r="H16" s="99" t="n">
        <v>40</v>
      </c>
      <c r="I16" s="99" t="n">
        <v>70</v>
      </c>
      <c r="J16" s="99" t="s">
        <v>279</v>
      </c>
      <c r="K16" s="99" t="s">
        <v>249</v>
      </c>
      <c r="L16" s="14" t="s">
        <v>280</v>
      </c>
      <c r="M16" s="99" t="n">
        <v>150</v>
      </c>
      <c r="N16" s="19" t="s">
        <v>281</v>
      </c>
      <c r="O16" s="19" t="n">
        <v>0.35</v>
      </c>
      <c r="P16" s="6" t="s">
        <v>239</v>
      </c>
      <c r="Q16" s="6" t="n">
        <v>2.3</v>
      </c>
    </row>
    <row r="17" customFormat="false" ht="55.5" hidden="false" customHeight="true" outlineLevel="0" collapsed="false">
      <c r="A17" s="98" t="s">
        <v>282</v>
      </c>
      <c r="B17" s="99" t="s">
        <v>283</v>
      </c>
      <c r="C17" s="99" t="n">
        <v>65</v>
      </c>
      <c r="D17" s="99" t="n">
        <v>20</v>
      </c>
      <c r="E17" s="99" t="s">
        <v>18</v>
      </c>
      <c r="F17" s="99" t="n">
        <v>200</v>
      </c>
      <c r="G17" s="99" t="n">
        <v>18</v>
      </c>
      <c r="H17" s="99" t="n">
        <v>300</v>
      </c>
      <c r="I17" s="99" t="n">
        <v>1000</v>
      </c>
      <c r="J17" s="99" t="s">
        <v>284</v>
      </c>
      <c r="K17" s="99" t="s">
        <v>245</v>
      </c>
      <c r="L17" s="14" t="s">
        <v>285</v>
      </c>
      <c r="M17" s="99" t="n">
        <v>200</v>
      </c>
      <c r="N17" s="19" t="s">
        <v>272</v>
      </c>
      <c r="O17" s="19" t="n">
        <v>0.85</v>
      </c>
      <c r="P17" s="6" t="s">
        <v>264</v>
      </c>
      <c r="Q17" s="6" t="n">
        <v>2.3</v>
      </c>
    </row>
    <row r="18" customFormat="false" ht="22.5" hidden="false" customHeight="true" outlineLevel="0" collapsed="false">
      <c r="A18" s="98" t="s">
        <v>286</v>
      </c>
      <c r="B18" s="99" t="s">
        <v>287</v>
      </c>
      <c r="C18" s="99" t="n">
        <v>200</v>
      </c>
      <c r="D18" s="99" t="n">
        <v>30</v>
      </c>
      <c r="E18" s="99" t="n">
        <v>0.085</v>
      </c>
      <c r="F18" s="99" t="n">
        <v>1700</v>
      </c>
      <c r="G18" s="99" t="n">
        <v>700</v>
      </c>
      <c r="H18" s="99" t="n">
        <v>190</v>
      </c>
      <c r="I18" s="99" t="n">
        <v>35</v>
      </c>
      <c r="J18" s="99" t="s">
        <v>288</v>
      </c>
      <c r="K18" s="99" t="s">
        <v>249</v>
      </c>
      <c r="L18" s="14" t="s">
        <v>289</v>
      </c>
      <c r="M18" s="99" t="n">
        <v>150</v>
      </c>
      <c r="N18" s="19" t="s">
        <v>238</v>
      </c>
      <c r="O18" s="19" t="n">
        <v>0.35</v>
      </c>
      <c r="P18" s="6" t="s">
        <v>239</v>
      </c>
      <c r="Q18" s="6" t="n">
        <v>2.3</v>
      </c>
    </row>
    <row r="19" customFormat="false" ht="44.25" hidden="false" customHeight="true" outlineLevel="0" collapsed="false">
      <c r="A19" s="98" t="s">
        <v>290</v>
      </c>
      <c r="B19" s="99" t="s">
        <v>291</v>
      </c>
      <c r="C19" s="99" t="n">
        <v>60</v>
      </c>
      <c r="D19" s="99" t="n">
        <v>2</v>
      </c>
      <c r="E19" s="99" t="n">
        <v>2.5</v>
      </c>
      <c r="F19" s="99" t="n">
        <v>50</v>
      </c>
      <c r="G19" s="99" t="n">
        <v>20</v>
      </c>
      <c r="H19" s="99" t="n">
        <v>12</v>
      </c>
      <c r="I19" s="99" t="n">
        <v>250</v>
      </c>
      <c r="J19" s="99" t="s">
        <v>292</v>
      </c>
      <c r="K19" s="99" t="s">
        <v>245</v>
      </c>
      <c r="L19" s="14" t="s">
        <v>293</v>
      </c>
      <c r="M19" s="99" t="n">
        <v>150</v>
      </c>
      <c r="N19" s="19" t="s">
        <v>226</v>
      </c>
      <c r="O19" s="19" t="n">
        <v>0.4</v>
      </c>
      <c r="P19" s="6" t="s">
        <v>227</v>
      </c>
      <c r="Q19" s="6" t="n">
        <v>2</v>
      </c>
    </row>
    <row r="20" customFormat="false" ht="15" hidden="false" customHeight="true" outlineLevel="0" collapsed="false">
      <c r="B20" s="100"/>
      <c r="C20" s="100"/>
      <c r="D20" s="100"/>
      <c r="E20" s="100"/>
      <c r="F20" s="100"/>
      <c r="G20" s="100"/>
      <c r="H20" s="100"/>
      <c r="I20" s="100"/>
      <c r="J20" s="100"/>
      <c r="K20" s="10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2026-04-09T14:57:21Z</dcterms:modified>
  <cp:revision>213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