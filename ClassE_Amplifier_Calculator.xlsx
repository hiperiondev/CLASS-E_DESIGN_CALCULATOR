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styles.xml" ContentType="application/vnd.openxmlformats-officedocument.spreadsheetml.styles+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lass-E Calculator" sheetId="1" state="visible" r:id="rId3"/>
    <sheet name="LPF Direct 5-poles" sheetId="2" state="visible" r:id="rId4"/>
    <sheet name="LPF Direct 7-pole" sheetId="3" state="visible" r:id="rId5"/>
    <sheet name="MOSFET Reference Table" sheetId="4" state="visible" r:id="rId6"/>
  </sheets>
  <definedNames>
    <definedName function="false" hidden="false" name="_xlfn_IFERROR" vbProcedure="false">#NAME?</definedName>
  </definedNames>
  <calcPr iterateCount="100" refMode="A1" iterate="true" iterateDelta="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12" authorId="0">
      <text>
        <r>
          <rPr>
            <sz val="10"/>
            <rFont val="Arial"/>
            <family val="2"/>
          </rPr>
          <t xml:space="preserve">FIXED: Added distinction between I_D(continuous) and I_pk(peak). I_D(cont) from MOSFET table is compared against I_pk=2.862*Idc. For devices where I_D(cont) &lt; I_pk but &gt; I_pk/2, added advisory to check I_D(pulsed) from datasheet (typically 2-4x I_D(cont)).</t>
        </r>
      </text>
    </comment>
    <comment ref="C88" authorId="0">
      <text>
        <r>
          <rPr>
            <sz val="10"/>
            <rFont val="Arial"/>
            <family val="2"/>
          </rPr>
          <t xml:space="preserve">⚠ COMPATIBILITY: This cell uses the LET() function, which requires Excel 2019, Microsoft 365, or LibreOffice 7.4+. In older Excel versions this cell will show #NAME?. To fix: decompose LET() into separate helper cells for each intermediate variable.</t>
        </r>
      </text>
    </comment>
    <comment ref="G88" authorId="0">
      <text>
        <r>
          <rPr>
            <sz val="10"/>
            <rFont val="Arial"/>
            <family val="2"/>
          </rPr>
          <t xml:space="preserve">INFORMATIONAL ONLY — NOT USED IN η CALCULATION.
C88 (the authoritative η) is driven by J95, not this cell.
This cell is a diagnostic duplicate for debugging. Do not reference G88 in formulas.
Kept for engineering cross-check purposes only.</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Q4" authorId="0">
      <text>
        <r>
          <rPr>
            <sz val="10"/>
            <rFont val="Arial"/>
            <family val="2"/>
          </rPr>
          <t xml:space="preserve">FIXED: Updated from 2.0 to 2.5. NXP BS170 datasheet (Rev.9 2016): Rds(on) vs Tj follows approximately T^2.5 power law. Using 2.0 underestimated Rds at elevated temperature by ~10%.</t>
        </r>
      </text>
    </comment>
    <comment ref="Q5" authorId="0">
      <text>
        <r>
          <rPr>
            <sz val="10"/>
            <rFont val="Arial"/>
            <family val="2"/>
          </rPr>
          <t xml:space="preserve">FIXED: Updated from 2.0 to 2.5. ON Semiconductor 2N7000 datasheet: Rds(on) temperature coefficient consistent with T^2.5 exponent for Si-planar.</t>
        </r>
      </text>
    </comment>
  </commentList>
</comments>
</file>

<file path=xl/sharedStrings.xml><?xml version="1.0" encoding="utf-8"?>
<sst xmlns="http://schemas.openxmlformats.org/spreadsheetml/2006/main" count="576" uniqueCount="318">
  <si>
    <t xml:space="preserve">CLASS-E RF POWER AMPLIFIER  ·  DESIGN CALCULATOR</t>
  </si>
  <si>
    <t xml:space="preserve">Based on Sokal/Raab equations (WA1HQC · QEX Jan/Feb 2001) | Optimum (ZVS + ZCS) Class-E switching</t>
  </si>
  <si>
    <t xml:space="preserve">By  Emiliano Gonzalez LU3VEA – lu3vea@gmail.com – License: GPL v3</t>
  </si>
  <si>
    <t xml:space="preserve">⚙ ITERATIVE CALCULATION REQUIRED — File → Options → Formulas → Enable Iterative Calculation (100 iterations, max change 0.0001). LibreOffice: Tools → Options → LibreOffice Calc → Calculate → Iterations. Press F9 until η (C88) stabilises. Circular chain: η(C88) → I_dc(C43) → RFC loss in J95 → η(C88). [R(C42), C1(C48), C2(C52), L2(C50), and RFC(C54) are NOT part of the circular chain — they depend only on fixed inputs and are valid from the first calculation.]</t>
  </si>
  <si>
    <t xml:space="preserve">MOSFET MODEL</t>
  </si>
  <si>
    <t xml:space="preserve">BS170</t>
  </si>
  <si>
    <t xml:space="preserve">Min. MOSFET V_DSS Required (V)</t>
  </si>
  <si>
    <t xml:space="preserve">INPUT PARAMETERS</t>
  </si>
  <si>
    <t xml:space="preserve">Parameter</t>
  </si>
  <si>
    <t xml:space="preserve">Value</t>
  </si>
  <si>
    <t xml:space="preserve">Unit</t>
  </si>
  <si>
    <t xml:space="preserve">Supply Voltage (Vcc)</t>
  </si>
  <si>
    <t xml:space="preserve">V</t>
  </si>
  <si>
    <t xml:space="preserve">Output Power (P_out)</t>
  </si>
  <si>
    <t xml:space="preserve">W</t>
  </si>
  <si>
    <t xml:space="preserve">Operating Frequency (f)</t>
  </si>
  <si>
    <t xml:space="preserve">MHz</t>
  </si>
  <si>
    <t xml:space="preserve">Loaded Q Factor (Q_L)</t>
  </si>
  <si>
    <t xml:space="preserve">—</t>
  </si>
  <si>
    <t xml:space="preserve">Transistor V_sat (Vo)  [0 for MOSFET, 0.1–1 V for BJT]</t>
  </si>
  <si>
    <t xml:space="preserve">Drain Efficiency (η)</t>
  </si>
  <si>
    <t xml:space="preserve">ESR_L2  (L2 winding series resistance)</t>
  </si>
  <si>
    <t xml:space="preserve">Ω</t>
  </si>
  <si>
    <t xml:space="preserve">ℹ ESR_L2: series resonant inductor (L2) winding resistance. Typical: 0.03–0.08 Ω small air-core solenoid; 0.05–0.15 Ω wound toroid at HF. Enters Sokal Eq. 1 with full weight (coefficient 1.0) — errors here corrupt η, R, C1, C2, and I_dc directly. Measure with LCR meter or VNA at operating frequency. Do NOT enter RFC ESR here — that belongs in C23.</t>
  </si>
  <si>
    <t xml:space="preserve">RFC Winding ESR  (ESR_RFC)</t>
  </si>
  <si>
    <t xml:space="preserve">ℹ RFC choke winding ESR. Typical: 0.05–0.1 Ω air-core toroid; 0.1–0.5 Ω wound ferrite at HF; up to 1 Ω for small ferrite pot cores. Used in η model. Loss ≈ ESR_RFC × I_dc². Measure with LCR meter or VNA at operating frequency.</t>
  </si>
  <si>
    <t xml:space="preserve">Source Impedance (Z_in)</t>
  </si>
  <si>
    <t xml:space="preserve">Load Impedance  Z_out (antenna/load)</t>
  </si>
  <si>
    <t xml:space="preserve">Duty Cycle (D)  </t>
  </si>
  <si>
    <t xml:space="preserve">MOSFET Ciss (from datasheet)</t>
  </si>
  <si>
    <t xml:space="preserve">pF</t>
  </si>
  <si>
    <t xml:space="preserve">Gate Damping Resistor (R_gate)</t>
  </si>
  <si>
    <t xml:space="preserve">Ambient Temperature (T_amb)</t>
  </si>
  <si>
    <t xml:space="preserve">°C</t>
  </si>
  <si>
    <t xml:space="preserve">ESR_C2  (C2 capacitor series resistance)</t>
  </si>
  <si>
    <t xml:space="preserve">ESR_C1  (C1 shunt capacitor series resistance)</t>
  </si>
  <si>
    <t xml:space="preserve">C_oss</t>
  </si>
  <si>
    <t xml:space="preserve">C1_ext  (= C1_total − Coss_effective;   Coss_effective = C32 × C36,  where C32 = Coss datasheet [pF],  C36 = bias-point scale factor)  ⚠ C32 is approximate. For best accuracy, use a VNA to measure Coss at Vds ≈ 0.5×Vcc, or use manufacturer's energy-equivalent Coss (Coss,er) if provided.</t>
  </si>
  <si>
    <t xml:space="preserve">MOSFET fall time t_f [ns] — overrides fT model when &gt; 0</t>
  </si>
  <si>
    <t xml:space="preserve">ns</t>
  </si>
  <si>
    <t xml:space="preserve">ΔV supply droop (V)</t>
  </si>
  <si>
    <t xml:space="preserve">Coss scale factor  (auto-selected by device type; override if needed)</t>
  </si>
  <si>
    <t xml:space="preserve">⚠ Coss is bias-dependent. Recommended scale factors by device type: Si planar (BS170, 2N7000): 0.40 | Si vertical DMOS (IRF510, IRF540, IRFZ44N): 0.35 | LDMOS (RD16HVF1, MRF101AN, BLF574): 0.85 (use Coss,er from datasheet if available). For best accuracy, measure Coss at Vds ≈ 0.5×Vcc with a VNA. ⚠ Vcc-dependency note: Coss decreases significantly at higher Vds. For Vcc far from the nominal design point (e.g. &lt;5 V or &gt;15 V), verify scale factor against Coss vs Vds curve in the datasheet or use manufacturer energy-equivalent Coss (Coss,er) if provided. </t>
  </si>
  <si>
    <t xml:space="preserve">ZVS quality factor k_coss (edit I36 to override (replace its formula with your value))
Si-planar (BS170, 2N7000): 0.40–0.50
Si vertical DMOS (IRF510, IRF540, IRFZ44N): 0.35
RF MOSFET LDMOS (RD16HVF1, BLF574): 0.05–0.10
Unknown / conservative: 0.25 (default)
Formula: p_coss = 0.5 × Coss_eff × V_pk² × f × k_coss</t>
  </si>
  <si>
    <t xml:space="preserve">⚠ To override k_coss: type your value directly into I36 (replacing the formula). Example: 0.08 for LDMOS/GaN ZVS, 0.35 for Si-DMOS poor-ZVS, 0.40-0.50 for Si-planar poor-ZVS. Default formula auto-selects by device type.</t>
  </si>
  <si>
    <t xml:space="preserve">V_DSS Safety Factor  (×V_pk_nominal). Typical: 2.0× (steady-state), 2.5× (HF bench), 3.0× (severe mistuning / VLF high-V)</t>
  </si>
  <si>
    <t xml:space="preserve">ℹ Mistuned V_pk can reach 5×Vcc; see I82 for worst-case check. Guidelines: 2.0× steady-state only | 3.0× HF bench | 4.0× severe mistuning/VLF high-V.</t>
  </si>
  <si>
    <t xml:space="preserve">INTERMEDIATE CALCULATIONS</t>
  </si>
  <si>
    <t xml:space="preserve">Comment</t>
  </si>
  <si>
    <t xml:space="preserve">Angular Frequency  ω = 2π · f</t>
  </si>
  <si>
    <t xml:space="preserve">rad/s</t>
  </si>
  <si>
    <t xml:space="preserve">ω = angular frequency used in all component formulas below</t>
  </si>
  <si>
    <t xml:space="preserve">Optimum Load Resistance  R  (Sokal eq.6, QL-corrected polynomial)</t>
  </si>
  <si>
    <t xml:space="preserve">Sokal AACD 2001 eq.6a (3rd-order, ±0.01%): R = Veff²/P_out · f(QL), where f(QL) = 0.576801×(1.0000086 − 0.414395/QL − 0.577501/QL² + 0.205967/QL³). η does not appear in the R formula (Sokal formulation); it enters the design only through the efficiency model (C88/J95) and I_dc (C43). The C6 convergence check validates this formula directly.</t>
  </si>
  <si>
    <t xml:space="preserve">DC Supply Current  I_dc  =  P_out / (Vcc · η)</t>
  </si>
  <si>
    <t xml:space="preserve">A</t>
  </si>
  <si>
    <t xml:space="preserve">Average DC supply current. Uses V_eff=(Vcc−ΔV−Vo) in denominator. MOSFET (Vo=0): I_dc = Pout/((Vcc−ΔV)×η) ← EXACT. BJT (Vo&gt;0): I_dc = Pout/((Vcc−ΔV−Vo)×η) — KNOWN CONSERVATIVE APPROXIMATION: overestimates I_dc by Vo/(Vcc−ΔV−Vo)×100% vs Sokal eq.3 which uses Vcc alone. Example: Vo=0.5V, Vcc=5V → +11% overestimate. This is intentional (safe-side for I_pk and thermal calculations). R formula (C42) and I_dc both use Veff consistently. Press F9 until C88 stabilises.</t>
  </si>
  <si>
    <t xml:space="preserve">Effective Drive Voltage  V_eff  =  Vcc − V_sat</t>
  </si>
  <si>
    <t xml:space="preserve">Usable voltage swing. Vo (C20) = transistor voltage-saturation offset; use 0 for MOSFET (ideal switch), 0.1–1 V for BJT at low freq. Supply-wiring droop ΔV.</t>
  </si>
  <si>
    <t xml:space="preserve">CLASS-E COMPONENT VALUES  (Sokal / Raab equations)</t>
  </si>
  <si>
    <t xml:space="preserve">Std 5%</t>
  </si>
  <si>
    <t xml:space="preserve">C1  Shunt Capacitor (drain-to-GND)  [QL-corrected, Sokal eq.7]</t>
  </si>
  <si>
    <t xml:space="preserve">F</t>
  </si>
  <si>
    <t xml:space="preserve">Sokal eq.7 QL-corrected polynomial / (5.4466·ω·R). RFC correction +0.6/(ω²·L_RFC) is dynamically linked to actual RFC value (C54). Note: C1 depends on RFC (C54) which depends on R (C42) which depends on η (C88) — downstream dependency, not feedback loop: C1 does not feed back into η. The convergence check in C6 explicitly verifies C1 self-consistency. Subtract MOSFET Coss (C32, scaled by C36) for external cap C1_ext (C33). | ℹ ACCURACY: Polynomial matches Sokal Table I to within ±0.18% across all valid QL (1.7879–∞). C1 (C48/C49) is C1_TOTAL (Coss_eff + external cap). The external capacitor to physically fit is C1_ext = C1_total − Coss_eff (see C33). ⚠ For QL &gt; 7, Kazimierczuk &amp; Puczko (1987) exact analysis may differ slightly due to higher-order RFC interaction; treat C1 as a starting point and optimise ZVS with LTspice for QL &gt; 7.</t>
  </si>
  <si>
    <t xml:space="preserve">C1  [pF]</t>
  </si>
  <si>
    <t xml:space="preserve">Choose nearest standard value (silver-mica or NP0 ceramic)</t>
  </si>
  <si>
    <t xml:space="preserve">L2  Series Resonant Inductor</t>
  </si>
  <si>
    <t xml:space="preserve">H</t>
  </si>
  <si>
    <t xml:space="preserve">Wind this inductor. L2 = QL×R/ω (Sokal Eq.10). This is the physical series coil between drain and C2.</t>
  </si>
  <si>
    <t xml:space="preserve">L2  [µH]</t>
  </si>
  <si>
    <t xml:space="preserve">µH</t>
  </si>
  <si>
    <t xml:space="preserve">Wind on T68-6 toroid; verify SRF &gt; 10× operating frequency</t>
  </si>
  <si>
    <t xml:space="preserve">C2  Series Resonant Capacitor  [Sokal Table I fit, valid QL≥5]</t>
  </si>
  <si>
    <t xml:space="preserve">C2  [pF]</t>
  </si>
  <si>
    <t xml:space="preserve">Polypropylene (WIMA FKP) or silver-mica</t>
  </si>
  <si>
    <t xml:space="preserve">RFC  RF Choke (minimum inductance  ≥ 30·R/ω,  use 50·R/ω in practice)</t>
  </si>
  <si>
    <t xml:space="preserve">Sokal QEX 2001: choke reactance must be ≥30×R.</t>
  </si>
  <si>
    <t xml:space="preserve">⚠ RFC OVERRIDE PROCEDURE: (1) Calculate your RFC value in µH. (2) Type the value in µH into C55 (display). (3) Type the SAME value ÷ 1,000,000 (in Henrys) directly into C54, replacing its formula. Example: for 20 µH RFC → type 0.000020 into C54 AND 20 into C55. C1 and C2 will then update automatically. To restore auto-RFC: delete C54 value and re-enter =50*C42/C41</t>
  </si>
  <si>
    <t xml:space="preserve">RFC  [µH]</t>
  </si>
  <si>
    <t xml:space="preserve">L_ser  Net excess inductance of L2-C2 branch at ω  [informational only - NOT a separate coil]</t>
  </si>
  <si>
    <t xml:space="preserve">Informational only. L_ser = L2 − 1/(ω²·C2) is the net excess inductance built into L2 by design. Do NOT wind a separate coil for L_ser. Wind only L2 (row 46).</t>
  </si>
  <si>
    <t xml:space="preserve">L_ser  [µH]</t>
  </si>
  <si>
    <t xml:space="preserve">Informational only. L_ser is the net inductive excess already built into the L2-C2 branch by design (ωL2 &gt; 1/ωC2). Do NOT wind or purchase a separate inductor for L_ser. Wind only L2 (row 46). See F51 for L2 winding instructions.</t>
  </si>
  <si>
    <t xml:space="preserve">L2  Physical coil to wind  =  QL × R / ω  [identical to L2 rows 46–47 — ONE coil only; L_total = L2]</t>
  </si>
  <si>
    <t xml:space="preserve">This row previously showed "L_total" but L_total = L2 — there is NO separate coil. Wind ONLY the L2 coil from rows 50–51. L_ser (rows 56–57) is informational only and is NOT wound separately. The net inductive excess of the L2-C2 branch is already inherent in L2 by design.</t>
  </si>
  <si>
    <t xml:space="preserve">L_total  [µH]  — same as L2 above; wind ONE coil only</t>
  </si>
  <si>
    <t xml:space="preserve">⚠ L_total = L2 (rows 46–47). This row is kept for reference only. Standard value picker (E59) = E49. Do NOT wind two separate coils.</t>
  </si>
  <si>
    <t xml:space="preserve">OUTPUT IMPEDANCE MATCHING  (L-Network: R_drain → Z_load)</t>
  </si>
  <si>
    <t xml:space="preserve">Internal Load R at drain</t>
  </si>
  <si>
    <t xml:space="preserve">Optimum Class-E drain load (from Sokal eq.)</t>
  </si>
  <si>
    <t xml:space="preserve">External Load  Z_out</t>
  </si>
  <si>
    <t xml:space="preserve">As set in Input Parameters (typically 50 Ω)</t>
  </si>
  <si>
    <t xml:space="preserve">L-network quality factor Q_match  =  √(Z_max/Z_min − 1)</t>
  </si>
  <si>
    <t xml:space="preserve">L_match  (series element)</t>
  </si>
  <si>
    <t xml:space="preserve">L_match  [µH]</t>
  </si>
  <si>
    <t xml:space="preserve">C_match  (shunt element)</t>
  </si>
  <si>
    <t xml:space="preserve">C_match  [pF]</t>
  </si>
  <si>
    <t xml:space="preserve">Network Type (Step-UP: R_drain &lt; Z_load  |  Step-DOWN: R_drain &gt; Z_load)</t>
  </si>
  <si>
    <t xml:space="preserve">In Step-DOWN (R_drain &gt; Z_load): Shunt C_match at DRAIN (HIGH-Z) side, series L_match toward load. In Step-UP (R_drain &lt; Z_load, typical QRP Class-E): Series L_match from DRAIN (LOW-Z), then Shunt C_match at LOAD (HIGH-Z, 50Ω) side. Both give LOW-PASS L-network response for better harmonic rejection. L_match=Q×R_min/ω; C_match=Q/(ω×R_max). ⚠ L-NETWORK PROVIDES IMPEDANCE MATCH ONLY — add the 5-7 element Chebyshev LPF for harmonic attenuation ≥43 dBc (FCC §97.307) / ≥50 dBc (IARU).</t>
  </si>
  <si>
    <t xml:space="preserve">INPUT IMPEDANCE MATCHING  (L-Network: Z_source → R_gate)</t>
  </si>
  <si>
    <t xml:space="preserve">Gate Impedance  |Zg| ≈ 1 / (ω · Ciss)</t>
  </si>
  <si>
    <t xml:space="preserve">X_ciss = 1/(ω·Ciss): reactive part of gate impedance. Gate model: series Rgate−jXciss. L_in (C73) includes a term 1/(ω²·Ciss) to resonate out Xciss.</t>
  </si>
  <si>
    <t xml:space="preserve">Gate Series Impedance  |Zg| = √(Xciss²+Rg²)</t>
  </si>
  <si>
    <t xml:space="preserve">Gate modelled as series Xciss-Rgate. |Zg|=√(Xciss²+Rg²). When Xciss&gt;&gt;Rgate (typical at HF), series resonance via L_in dominates — see C59.</t>
  </si>
  <si>
    <t xml:space="preserve">Source Impedance  Z_in</t>
  </si>
  <si>
    <t xml:space="preserve">From Input Parameters</t>
  </si>
  <si>
    <t xml:space="preserve">Q_in  =  √(Z_max/Z_min − 1)  [uses R_gate (C28, real part after Xciss cancellation by L_in), NOT |Zg|]</t>
  </si>
  <si>
    <t xml:space="preserve">Q_in uses R_gate (C28) — the real part of gate impedance after the resonating inductor L_in cancels reactive Xciss — not |Zg| (C75). Using |Zg| would give incorrect Q because Xciss is neutralised by L_in. Q_in = √(Z_max/Z_min − 1) where Z_max=MAX(Z_source, R_gate) and Z_min=MIN(Z_source, R_gate). Note: C27 is Ciss (pF), C28 is R_gate (Ω) — the formula correctly uses C28.</t>
  </si>
  <si>
    <t xml:space="preserve">L_in  (series element)  [µH]</t>
  </si>
  <si>
    <t xml:space="preserve">Two-case model (Xciss/Rgate ratio test):
Case 1 — Xciss &lt; 3×Rgate: L-network model unreliable; full complex-impedance synthesis required (ADS/LTspice).
Case 2 — Xciss ≥ 3×Rgate: L_in = 1/(ω²·Ciss) + Q_in·R_min/ω. The first term resonates out gate Ciss; the second term provides impedance transformation from Z_source to R_gate. For Xciss/Rgate ≥ 10, the transformation term (Q_in·R_min/ω) is ≪ resonating term — verify with LTspice. C_in: omit in series-resonance regime (Xciss ≥ 3×Rgate).</t>
  </si>
  <si>
    <t xml:space="preserve">C_in  [pF]  ⚠ When Xciss/Rgate ≥ 3 (see H74), C_in has negligible effect. Omit C_in from the circuit; tune L_in empirically.</t>
  </si>
  <si>
    <t xml:space="preserve">Input matching shunt capacitor (pF). C_in = Q_in / (ω × Z_high). Step-DOWN topology (Z_source &gt; R_gate, typical): shunt C at source side, series L toward gate. Q_in is based on R_gate (after Xciss resonant cancellation). ⚠ When Xciss/R_gate ≥ 3 (see H74), C_in contribution is negligible — the dominant effect is the series resonance between L_in and Ciss. In this regime C_in may be omitted or tuned empirically.</t>
  </si>
  <si>
    <t xml:space="preserve">PERFORMANCE ESTIMATES</t>
  </si>
  <si>
    <t xml:space="preserve">Peak Drain Voltage  V_pk = 3.562×(Vcc_eff−Vo)+Vo   where Vcc_eff = Vcc−ΔV   ⚠</t>
  </si>
  <si>
    <t xml:space="preserve">⚠ V_pk = 3.562×(Vcc_eff−Vo) where Vcc_eff = Vcc−ΔV (C16−C35). Peak drain voltage scales with the effective supply voltage — supply droop DOES reduce V_pk. This formula is now consistent with V_eff (C44) and the Coss-loss formula (J94). Vo = 0 for MOSFETs; use Vce(sat) or RCE(sat)×Ic for BJTs (standard Sokal formulation). Under mistuned conditions V_pk can reach 5×Vcc_eff or more. During bench testing/tuning, reduce Vcc to 30% of design value. Choose MOSFET with V_DSS ≥ 3.56×safety_factor×Vcc_eff (see C84).</t>
  </si>
  <si>
    <t xml:space="preserve">Minimum MOSFET V_DSS required  (C37× safety margin — covers bench-tuning where V_pk can reach 5×Vcc)</t>
  </si>
  <si>
    <t xml:space="preserve">V_pk_corrected  (Kazimierczuk 1st-order finite RFC correction)  ℹ</t>
  </si>
  <si>
    <t xml:space="preserve">ℹ 1st-order correction for finite RFC: V_pk×(1+0.6·R/X_RFC) where X_RFC=ω·L_RFC. For RFC=50×R/ω: correction≈+1.2%; for RFC=30×R/ω: +2.0%. Informational only — use C84 for V_DSS safety margin calculations.</t>
  </si>
  <si>
    <t xml:space="preserve">Peak Drain Current  I_pk ≈ 2.862 × I_dc</t>
  </si>
  <si>
    <t xml:space="preserve">I_pk must be ≤ I_D(max) of MOSFET</t>
  </si>
  <si>
    <t xml:space="preserve">DC Supply Current  I_dc  (cross-ref to row 42)</t>
  </si>
  <si>
    <t xml:space="preserve">Average current from supply — same value as row 42; repeated here for proximity to the performance section.</t>
  </si>
  <si>
    <t xml:space="preserve">Predicted η  (Sokal eq.2, based on Rds(on); compare to input η in C21)</t>
  </si>
  <si>
    <t xml:space="preserve">Power Dissipated  P_diss = Vcc·I_dc − P_out</t>
  </si>
  <si>
    <t xml:space="preserve">Device dissipation = power arriving at circuit node minus output = (Vcc−ΔV)×I_dc − P_out. Supply droop ΔV is wiring resistance loss EXTERNAL to the device — correctly excluded from device P_diss. Total power waste = Vcc×I_dc − P_out = P_diss + ΔV×I_dc (wiring). ⚠ For thermal heatsink design: θ_JA calc uses this P_diss (device only) — correct. For PSU sizing: add wiring loss ΔV×I_dc to P_diss. I_dc (C43) uses predicted η (C88) when numeric; falls back to user η (C21).</t>
  </si>
  <si>
    <t xml:space="preserve">ℹ I88 (derated η): Uses original I_dc (C43), not re-computed derated I_dc — first-order estimate; underestimates RFC/Coss loss at derated conditions by ~10-15%. Informational only.</t>
  </si>
  <si>
    <t xml:space="preserve">Max Allowable θ_JA  =  (T_j_max − T_amb) / P_diss</t>
  </si>
  <si>
    <t xml:space="preserve">°C/W</t>
  </si>
  <si>
    <t xml:space="preserve">Denominator uses min(J98, C89). J98 = MOSFET-only losses: 1.365×I_dc²×Rds(on) [= I_rms_switch²×Rds, where 1.365=I_rms²/I_dc² from Raab 1977 exact waveform integration] + P_switching (J97) + P_Coss (J94). External component losses (ESR_L2, ESR_C2, RFC, C1 ESR) heat passive components NOT the MOSFET die. LDMOS detection via column P in MOSFET Reference Table. Fallback T_j_max: LDMOS→200°C, Si→150°C.</t>
  </si>
  <si>
    <t xml:space="preserve">C2 Coeff Cross-Check:  (C2×ω×R) vs Sokal Table I  |  QL = C19</t>
  </si>
  <si>
    <t xml:space="preserve">Explicit guard for QL &lt; 1.7879 prevents silent errors. Cross-check verifies the Sokal polynomial coefficients in C52 (1.00121, 1.01468, 0.104823, 1.7879). ⚠ NOTE: The RFC correction coefficient (0.2 in C52 and added back as 0.2 in C91) cannot be independently verified by this cross-check because it algebraically cancels out — C91 is tautological with respect to that term. To verify RFC coefficient: compute C52·ω·R at RFC=∞ (omit RFC term) and compare to base Sokal Eq.9. The polynomial coefficients themselves (QL={1.7879,2,2.5,3,5,10,20}) for independent verification of C2. ✔OK = formula within ±0.5% of Table I.</t>
  </si>
  <si>
    <t xml:space="preserve">Thermal Resistance θ_JA  (actual, including heatsink)  [enter for T_j derated η]</t>
  </si>
  <si>
    <t xml:space="preserve">The room-temperature Rds(on) was used in the η formula regardless of junction temperature. Enter actual thermal resistance (junction-to-ambient, including heatsink) here. I86 then shows the derated η at the estimated T_j. For TO-220 with small heatsink: θ_JA ≈ 20–40 °C/W; with large heatsink: 5–15 °C/W; without heatsink (free-air): θ_JA = value from datasheet (e.g. 62 °C/W for TO-92).</t>
  </si>
  <si>
    <t xml:space="preserve">LOW-PASS FILTER </t>
  </si>
  <si>
    <t xml:space="preserve">LPF Cutoff Frequency  fc = 1.40 × f</t>
  </si>
  <si>
    <t xml:space="preserve">5-element Chebyshev (0.1 dB ripple) LPF. Cutoff fc = 1.40×f places the fundamental well within the passband (≤0.1 dB insertion loss at f). The filter provides ~16.6 dBc additional rejection at 2f. The Class-E L2-C2 network inherently attenuates the 2nd harmonic by ~20 dBc (QL=5), so total system rejection at 2f may reach ~35–55 dBc — but this must be verified with LTspice or a spectrum analyser before regulatory submission. g-values (0.1 dB ripple, 5 poles): g1=g5=1.1468, g2=g4=1.3712, g3=1.9750.</t>
  </si>
  <si>
    <t xml:space="preserve">LPF Angular Cutoff  ωc = 2π·fc</t>
  </si>
  <si>
    <t xml:space="preserve">LPF Reference Impedance  Z0</t>
  </si>
  <si>
    <t xml:space="preserve">Typically 50Ω (antenna). Adjust to match actual load.</t>
  </si>
  <si>
    <t xml:space="preserve">LPF L1  (series, 5-el Chebyshev 0.1dB: g1=1.1468)</t>
  </si>
  <si>
    <t xml:space="preserve">5-element Chebyshev LPF (0.1 dB passband ripple, fc = 1.40×f). Topology: series L1 – shunt C2 – series L3 – shunt C4 – series L5. g-values (0.1 dB ripple, 5 poles): g1=g5=1.1468, g2=g4=1.3712, g3=1.9750. L = g×Z0/ωc; C = g/(Z0×ωc). Rolloff: 5-pole ≈ 30 dB/octave. At fc = 1.40×f, the filter alone provides approximately 16–17 dBc rejection at 2f (per formula C109 — the exact value updates with every fc change). The Class-E L2-C2 network adds ~20 dBc at QL = 5; combined total may reach 35–50 dBc but must be verified with LTspice or a spectrum analyser before regulatory submission. ⚠ IARU requires −50 dBc; FCC §97.307 requires −43 dBc. ⚠ All attenuation values assume 50Ω source and load; actual Class-E drain impedance ≠ 50Ω.</t>
  </si>
  <si>
    <t xml:space="preserve">LPF L1  [µH]</t>
  </si>
  <si>
    <t xml:space="preserve">LPF C2  (shunt, 5-el Chebyshev 0.1dB: g2=1.3712)</t>
  </si>
  <si>
    <t xml:space="preserve">C2 = g2/(Z0×ωc). First shunt capacitor. Use NP0/C0G ceramic or silver-mica.</t>
  </si>
  <si>
    <t xml:space="preserve">LPF C2  [pF]</t>
  </si>
  <si>
    <t xml:space="preserve">LPF L3  (series, 5-el Chebyshev 0.1dB: g3=1.9750)</t>
  </si>
  <si>
    <t xml:space="preserve">L3 = g3×Z0/ωc. Centre series inductor. Wind on T50-6 or T68-6 toroid; verify SRF &gt; 10×f.</t>
  </si>
  <si>
    <t xml:space="preserve">LPF L3  [µH]</t>
  </si>
  <si>
    <t xml:space="preserve">LPF C4  (shunt, 5-el Chebyshev 0.1dB: g4=1.3712)</t>
  </si>
  <si>
    <t xml:space="preserve">C4 = g4/(Z0×ωc). Second shunt capacitor. By symmetry g4=g2=1.3712. Use NP0/C0G or silver-mica.</t>
  </si>
  <si>
    <t xml:space="preserve">LPF C4  [pF]</t>
  </si>
  <si>
    <t xml:space="preserve">LPF L5  (series, 5-el Chebyshev 0.1dB: g5=1.1468)</t>
  </si>
  <si>
    <t xml:space="preserve">L5 = g5×Z0/ωc. By symmetry g5=g1=1.1468. Output series inductor toward antenna/load. ⚠ Attenuation values in C104/C105 are calculated for an IDEAL 50Ω source driving the LPF. The actual Class-E drain impedance is not 50Ω (typically R_opt = 5–20Ω + reactive). Even with an L-network, the LPF input source impedance deviates from 50Ω. Actual 2f attenuation may differ ±10–20 dB from these figures. For regulatory compliance, always verify via LTspice simulation or spectrum analyser measurement.</t>
  </si>
  <si>
    <t xml:space="preserve">LPF L5  [µH]</t>
  </si>
  <si>
    <t xml:space="preserve">Attenuation at 2nd harmonic (2f)  ⚠ Assumes ideal 50Ω source — see F106</t>
  </si>
  <si>
    <t xml:space="preserve">dBc</t>
  </si>
  <si>
    <t xml:space="preserve">Attenuation at 3rd harmonic (3f)  ⚠ Assumes ideal 50Ω source — see F107</t>
  </si>
  <si>
    <t xml:space="preserve">LPF Source Impedance Validity Check</t>
  </si>
  <si>
    <t xml:space="preserve">KEY REFERENCES &amp; ONLINE CALCULATORS</t>
  </si>
  <si>
    <t xml:space="preserve">  📄  Sokal N.O., Sokal A.D. — 'Class E, a new class of high-efficiency tuned single-ended switching power amplifiers', IEEE JSSC, June 1975</t>
  </si>
  <si>
    <t xml:space="preserve">  📄  Sokal N.O. — 'Class-E RF Power Amplifiers', QEX Jan/Feb 2001  [WA1HQC — equations used in this calculator]</t>
  </si>
  <si>
    <t xml:space="preserve">  📄  Raab F.H. — 'Idealized operation of the class E tuned power amplifier', IEEE Trans. CAS, Dec. 1977</t>
  </si>
  <si>
    <t xml:space="preserve">  📄  Kazimierczuk &amp; Puczko — 'Exact analysis of class-E tuned power amplifier at any Q and duty ratio', IEEE Trans. CAS, 1987</t>
  </si>
  <si>
    <t xml:space="preserve">  🌐  VK1SV / ANU Online Calculator:  https://people.physics.anu.edu.au/~dxt103/calculators/class-e.php</t>
  </si>
  <si>
    <t xml:space="preserve">  🌐  VK2ZAY (Alan Yates) Class-E Calculator:  http://www.vk2zay.net/calculators/class-E.php</t>
  </si>
  <si>
    <t xml:space="preserve">  🌐  Sigenics Class-E Circuit Calculator:  http://class-e.sigenics.com/</t>
  </si>
  <si>
    <t xml:space="preserve">  🌐  Max Carter Class-E Transmitter Calc:  http://maxmcarter.com/classexmtr/classecalc.html</t>
  </si>
  <si>
    <t xml:space="preserve">  📝  Paul Harden NA5N — NorCal QRP Class-E Article:  https://norcalqrp.org/files/Class_E_Amplifiers.pdf</t>
  </si>
  <si>
    <t xml:space="preserve">  📝  VK1SV Class-E for Beginners:  https://people.physics.anu.edu.au/~dxt103/class-e/</t>
  </si>
  <si>
    <t xml:space="preserve">  📗  Kazimierczuk — 'RF Power Amplifiers', Wiley 2008  (exact analysis, any Q &amp; duty cycle)</t>
  </si>
  <si>
    <t xml:space="preserve">  📗  Cripps S.C. — 'RF Power Amplifiers for Wireless Communications', Artech House 2006</t>
  </si>
  <si>
    <t xml:space="preserve">LPF DIRECT-COUPLED TO DRAIN  (Z_source = R_opt)</t>
  </si>
  <si>
    <t xml:space="preserve">Correct 5-element Chebyshev LPF designed at R_opt (actual Class-E drain impedance) as source. Based on Sokal/Raab equations and Williams &amp; Taylor "Electronic Filter Design Handbook".</t>
  </si>
  <si>
    <t xml:space="preserve">⚠ WHY THE 50Ω LPF IS WRONG FOR DIRECT DRAIN CONNECTION — A Class-E drain presents R_opt (not 50Ω) as its load. A Chebyshev LPF designed for 50Ω source gives WRONG component values: the source-side shunt cap C2 must use R_opt in its formula C=g/(R_opt×ωc), not 50Ω. Using 50Ω makes C2 ≈2× too small, losing 10–20 dB of harmonic rejection at 2f. This sheet computes the correct asymmetric LPF with Z_source=R_opt and Z_load=50Ω. For large impedance ratios (n=Z_load/R_opt &gt; 1.5) an L-network before a symmetric 50Ω LPF (main sheet) is also valid.</t>
  </si>
  <si>
    <t xml:space="preserve">LINKED PARAMETERS  (from Class-E Calculator sheet)</t>
  </si>
  <si>
    <t xml:space="preserve">Operating Frequency  f</t>
  </si>
  <si>
    <t xml:space="preserve">Fundamental — imported from main sheet C18.</t>
  </si>
  <si>
    <t xml:space="preserve">Optimum Load Resistance  R_opt  (Sokal eq.6 — actual drain load)</t>
  </si>
  <si>
    <t xml:space="preserve">R_opt is the real Class-E drain load impedance. This is the CORRECT LPF source impedance when the LPF is directly connected to the drain (no L-network). Typical: 5–50 Ω for HF QRP.</t>
  </si>
  <si>
    <t xml:space="preserve">Load Impedance  Z_load  (antenna / output)</t>
  </si>
  <si>
    <t xml:space="preserve">Typically 50 Ω antenna. Change in main sheet C25.</t>
  </si>
  <si>
    <t xml:space="preserve">Supply Voltage  Vcc</t>
  </si>
  <si>
    <t xml:space="preserve">Used for V_pk and capacitor voltage-rating check.</t>
  </si>
  <si>
    <t xml:space="preserve">Output Power  P_out</t>
  </si>
  <si>
    <t xml:space="preserve">Used for inductor RMS current rating.</t>
  </si>
  <si>
    <t xml:space="preserve">fc=1.40×f keeps fundamental ≤0.1 dB insertion loss in passband. For narrowband or VHF use 1.2×f.</t>
  </si>
  <si>
    <t xml:space="preserve">Impedance Ratio  n = Z_load / R_opt  (step-up)</t>
  </si>
  <si>
    <t xml:space="preserve">n&gt;1 means step-up (R_opt &lt; 50Ω, typical Class-E). n=1 → symmetric Chebyshev (Z0_eff = 50Ω). Shunt-C toward source uses R_opt; shunt-C toward load uses Z_load.</t>
  </si>
  <si>
    <t xml:space="preserve">Z0_eff = √(R_opt × Z_load)  — geometric-mean reference impedance</t>
  </si>
  <si>
    <t xml:space="preserve">Z0_eff = √(R_opt × Z_load). Used to scale all series-L values in the asymmetric ladder. Shunt caps are scaled independently: C_source-side with R_opt, C_load-side with Z_load. (Williams &amp; Taylor, Electronic Filter Design Handbook, 4th ed., §11.2)</t>
  </si>
  <si>
    <t xml:space="preserve">Peak Drain Voltage  V_pk ≈ 3.562 × Vcc  (capacitor voltage-rating reference)</t>
  </si>
  <si>
    <t xml:space="preserve">All LPF capacitors must be rated ≥ 2× V_pk. V_pk includes supply droop (C35) correction: V_pk = 3.562×(Vcc−ΔV−Vo)+Vo. Use NP0/C0G or silver-mica ≥100 V for HF QRP.</t>
  </si>
  <si>
    <t xml:space="preserve">RMS Output Current  I_rms = √(P_out / Z_load)  (inductor wire-gauge reference)</t>
  </si>
  <si>
    <t xml:space="preserve">Series inductors L1, L3, L5 carry this current. Min wire: 24 AWG ≤0.5A, 22 AWG ≤1A, 20 AWG ≤2A, 18 AWG ≤3A, 16 AWG ≤5A.</t>
  </si>
  <si>
    <t xml:space="preserve">LPF COMPONENT VALUES  (5-element Chebyshev 0.1 dB, Z_source=R_opt → Z_load=50Ω)</t>
  </si>
  <si>
    <t xml:space="preserve">LPF L1  (series, 5-el Chebyshev 0.1 dB: g1=1.1468)  — drain-side series inductor</t>
  </si>
  <si>
    <t xml:space="preserve">L1 = g1 × Z0_eff / ωc. First series inductor from drain node. Wind on T50-6 or T68-6; verify SRF &gt; 10×f.</t>
  </si>
  <si>
    <t xml:space="preserve">LPF C2  (shunt to GND, 5-el Chebyshev 0.1 dB: g2=1.3712)  — source-side shunt cap</t>
  </si>
  <si>
    <t xml:space="preserve">⚠ C2 = g2/(R_opt×ωc) uses R_opt (not 50Ω) as source impedance. This is the shunt cap closest to the drain. Use NP0/C0G or silver-mica rated ≥2× V_pk.</t>
  </si>
  <si>
    <t xml:space="preserve">LPF L3  (series, 5-el Chebyshev 0.1 dB: g3=1.9750)  — centre series inductor</t>
  </si>
  <si>
    <t xml:space="preserve">L3 = g3 × Z0_eff / ωc. Largest series inductor; centre of the ladder. Wind on T50-6 or T68-6.</t>
  </si>
  <si>
    <t xml:space="preserve">LPF C4  (shunt to GND, 5-el Chebyshev 0.1 dB: g4=1.3712)  — load-side shunt cap</t>
  </si>
  <si>
    <t xml:space="preserve">C4 = g4/(Z_load×ωc) uses Z_load=50Ω. Note C4 ≠ C2 (asymmetric terminations). Place close to the antenna connector. NP0/C0G or silver-mica.</t>
  </si>
  <si>
    <t xml:space="preserve">LPF L5  (series, 5-el Chebyshev 0.1 dB: g5=1.1468)  — antenna-side series inductor</t>
  </si>
  <si>
    <t xml:space="preserve">L5 = g5 × Z0_eff / ωc. By symmetry L5=L1. Output series inductor toward antenna/load. L1=L5 always (symmetric g1=g5); only C2≠C4 due to unequal terminations.</t>
  </si>
  <si>
    <t xml:space="preserve">Attenuation at 2nd harmonic (2f)  ⚠ UPPER BOUND — symmetric formula used; actual can be 10–20 dB lower for n≠1</t>
  </si>
  <si>
    <t xml:space="preserve">Attenuation at 3rd harmonic (3f)  ⚠ UPPER BOUND — symmetric formula used; actual can be 10–20 dB lower for n≠1</t>
  </si>
  <si>
    <t xml:space="preserve">LPF DIRECT-COUPLED TO DRAIN  (7-pole, Z_source = R_opt)</t>
  </si>
  <si>
    <t xml:space="preserve">Correct 7-element Chebyshev LPF designed at R_opt (actual Class-E drain impedance) as source. Based on Sokal/Raab equations and Williams &amp; Taylor "Electronic Filter Design Handbook". Seven poles provide ≥14 dB additional stopband rejection vs. the 5-pole design, targeting −65 dBc or better at 2f.</t>
  </si>
  <si>
    <t xml:space="preserve">⚠ WHY THE 50Ω LPF IS WRONG FOR DIRECT DRAIN CONNECTION — A Class-E drain presents R_opt (not 50Ω) as its load. A Chebyshev LPF designed for 50Ω source gives WRONG component values: the source-side shunt cap C2 must use R_opt in its formula C=g/(R_opt×ωc), not 50Ω. Using 50Ω makes C2 ≈2× too small, losing 10–20 dB of harmonic rejection at 2f. This sheet computes the correct asymmetric 7-pole LPF with Z_source=R_opt and Z_load=50Ω. For large impedance ratios (n=Z_load/R_opt &gt; 1.5) an L-network before a symmetric 50Ω LPF (main sheet) is also valid.</t>
  </si>
  <si>
    <t xml:space="preserve">n&gt;1 means step-up (R_opt &lt; 50Ω, typical Class-E). n=1 → symmetric Chebyshev (Z0_eff = 50Ω). Shunt-C toward source uses R_opt; centre shunt-C uses Z0_eff; shunt-C toward load uses Z_load.</t>
  </si>
  <si>
    <t xml:space="preserve">Z0_eff = √(R_opt × Z_load). Used to scale all series-L values. Shunt caps: C2 with R_opt, C4 with Z0_eff, C6 with Z_load. (Williams &amp; Taylor, Electronic Filter Design Handbook, 4th ed., §11.2)</t>
  </si>
  <si>
    <t xml:space="preserve">Series inductors L1, L3, L5, L7 carry this current. Min wire: 24 AWG ≤0.5A, 22 AWG ≤1A, 20 AWG ≤2A, 18 AWG ≤3A, 16 AWG ≤5A.</t>
  </si>
  <si>
    <t xml:space="preserve">LPF COMPONENT VALUES  (7-element Chebyshev 0.1 dB, Z_source=R_opt → Z_load=50Ω)</t>
  </si>
  <si>
    <t xml:space="preserve">LPF L1  (series, 7-el Chebyshev 0.1 dB: g1=1.1812)  — drain-side series inductor</t>
  </si>
  <si>
    <t xml:space="preserve">LPF C2  (shunt to GND, 7-el Chebyshev 0.1 dB: g2=1.4228)  — source-side shunt cap</t>
  </si>
  <si>
    <t xml:space="preserve">LPF L3  (series, 7-el Chebyshev 0.1 dB: g3=2.0967)  — second series inductor</t>
  </si>
  <si>
    <t xml:space="preserve">L3 = g3 × Z0_eff / ωc. Second series inductor in the ladder. Wind on T50-6 or T68-6.</t>
  </si>
  <si>
    <t xml:space="preserve">LPF C4  (shunt to GND, 7-el Chebyshev 0.1 dB: g4=1.5734)  — centre shunt cap</t>
  </si>
  <si>
    <t xml:space="preserve">C4 = g4/(Z0_eff×ωc) uses Z0_eff=√(R_opt×Z_load) as the reference impedance for the centre shunt capacitor. [CORRECTED: Previous version incorrectly used R_opt, over-sizing C4 by up to 24% for typical n=1.55 and degrading 2f stopband rejection by 3–7 dB. The correct asymmetric ladder formula (Williams &amp; Taylor, Electronic Filter Design Handbook, §11.2) uses Z0_eff for the centre element, R_opt for the source-side cap (C2), and Z_load for the load-side cap (C6).] NP0/C0G or silver-mica; rated ≥2× V_pk. Verify final design with LTspice.</t>
  </si>
  <si>
    <t xml:space="preserve">LPF L5  (series, 7-el Chebyshev 0.1 dB: g5=2.0967)  — third series inductor</t>
  </si>
  <si>
    <t xml:space="preserve">L5 = g5 × Z0_eff / ωc. Third series inductor. By symmetry L5=L3. Wind on T50-6 or T68-6.</t>
  </si>
  <si>
    <t xml:space="preserve">LPF C6  (shunt to GND, 7-el Chebyshev 0.1 dB: g6=1.4228)  — load-side shunt cap</t>
  </si>
  <si>
    <t xml:space="preserve">C6 = g6/(Z_load×ωc) uses Z_load=50Ω. Note C6 ≠ C2 ≠ C4 (asymmetric terminations). Place close to the antenna connector. NP0/C0G or silver-mica.</t>
  </si>
  <si>
    <t xml:space="preserve">LPF C6  [pF]</t>
  </si>
  <si>
    <t xml:space="preserve">LPF L7  (series, 7-el Chebyshev 0.1 dB: g7=1.1812)  — antenna-side series inductor</t>
  </si>
  <si>
    <t xml:space="preserve">L7 = g7 × Z0_eff / ωc. By symmetry L7=L1. Output series inductor toward antenna/load. L1=L7 always (symmetric g1=g7 for odd-order Chebyshev).</t>
  </si>
  <si>
    <t xml:space="preserve">LPF L7  [µH]</t>
  </si>
  <si>
    <t xml:space="preserve">All parameters are typical values from manufacturer datasheets.</t>
  </si>
  <si>
    <t xml:space="preserve">Part No.</t>
  </si>
  <si>
    <t xml:space="preserve">Package</t>
  </si>
  <si>
    <t xml:space="preserve">V_DSS
(V)</t>
  </si>
  <si>
    <t xml:space="preserve">I_D
(A)</t>
  </si>
  <si>
    <t xml:space="preserve">R_ds(on)
(Ω)</t>
  </si>
  <si>
    <t xml:space="preserve">C_iss
(pF)</t>
  </si>
  <si>
    <t xml:space="preserve">C_oss
(pF)</t>
  </si>
  <si>
    <t xml:space="preserve">P_D
(W)</t>
  </si>
  <si>
    <t xml:space="preserve">f_T
(MHz)</t>
  </si>
  <si>
    <t xml:space="preserve">Typical
P_RF (W)</t>
  </si>
  <si>
    <t xml:space="preserve">RF Freq
Range</t>
  </si>
  <si>
    <t xml:space="preserve">Applications &amp; Notes</t>
  </si>
  <si>
    <t xml:space="preserve">T_j max
(°C)</t>
  </si>
  <si>
    <t xml:space="preserve">V_gs(th)
(V)</t>
  </si>
  <si>
    <t xml:space="preserve">Coss Scale (Empirical. Use Coss,er from datasheet when available)</t>
  </si>
  <si>
    <t xml:space="preserve">Device
Type</t>
  </si>
  <si>
    <t xml:space="preserve">Rds_T_exp</t>
  </si>
  <si>
    <t xml:space="preserve">TO-92</t>
  </si>
  <si>
    <t xml:space="preserve">≤0.5</t>
  </si>
  <si>
    <t xml:space="preserve">HF ≤14 MHz</t>
  </si>
  <si>
    <t xml:space="preserve">QRP Class-E staple; WSPR &amp; CW beacons 160m–20m; small SOT-23 alt. also available</t>
  </si>
  <si>
    <t xml:space="preserve">0.8–2.4</t>
  </si>
  <si>
    <t xml:space="preserve">Si-planar</t>
  </si>
  <si>
    <t xml:space="preserve">2N7000</t>
  </si>
  <si>
    <t xml:space="preserve">≤0.3</t>
  </si>
  <si>
    <t xml:space="preserve">HF ≤7 MHz</t>
  </si>
  <si>
    <t xml:space="preserve">Similar to BS170; popular in micro-power QRP Class-E</t>
  </si>
  <si>
    <t xml:space="preserve">0.8–3.0</t>
  </si>
  <si>
    <t xml:space="preserve">IRF510</t>
  </si>
  <si>
    <t xml:space="preserve">TO-220</t>
  </si>
  <si>
    <t xml:space="preserve">5–30</t>
  </si>
  <si>
    <t xml:space="preserve">HF ≤18 MHz</t>
  </si>
  <si>
    <t xml:space="preserve">The classic ham MOSFET; cheap, available, used in thousands of QRP kits</t>
  </si>
  <si>
    <t xml:space="preserve">2.0–4.0</t>
  </si>
  <si>
    <t xml:space="preserve">Si-DMOS</t>
  </si>
  <si>
    <t xml:space="preserve">IRF520</t>
  </si>
  <si>
    <t xml:space="preserve">10–40</t>
  </si>
  <si>
    <t xml:space="preserve">Higher current IRF510; good 40–80m medium-power Class-E</t>
  </si>
  <si>
    <t xml:space="preserve">IRF530</t>
  </si>
  <si>
    <t xml:space="preserve">20–80</t>
  </si>
  <si>
    <t xml:space="preserve">HF ≤30 MHz</t>
  </si>
  <si>
    <t xml:space="preserve">Higher Coss but more power; push-pull Class-E to 80W, 80m–10m</t>
  </si>
  <si>
    <t xml:space="preserve">IRF540</t>
  </si>
  <si>
    <t xml:space="preserve">50–150</t>
  </si>
  <si>
    <t xml:space="preserve">HF ≤10 MHz</t>
  </si>
  <si>
    <t xml:space="preserve">High current; great 160m–40m; high Coss makes tuning more critical</t>
  </si>
  <si>
    <t xml:space="preserve">IRFZ44N</t>
  </si>
  <si>
    <t xml:space="preserve">50–200</t>
  </si>
  <si>
    <t xml:space="preserve">MF/LF ≤1 MHz</t>
  </si>
  <si>
    <t xml:space="preserve">Excellent VLF/MF/LF (136 kHz, 472 kHz) high-power Class-E; very low Rdson</t>
  </si>
  <si>
    <t xml:space="preserve">FQP13N10</t>
  </si>
  <si>
    <t xml:space="preserve">20–60</t>
  </si>
  <si>
    <t xml:space="preserve">Popular in QRP kits; alternative to IRF530; good HF performance</t>
  </si>
  <si>
    <t xml:space="preserve">RD16HVF1</t>
  </si>
  <si>
    <t xml:space="preserve">LDMOS SM</t>
  </si>
  <si>
    <t xml:space="preserve">16</t>
  </si>
  <si>
    <t xml:space="preserve">HF–VHF ≤175 MHz</t>
  </si>
  <si>
    <t xml:space="preserve">RF-optimised LDMOS; excellent 10m–40m Class-E; very low Coss advantage</t>
  </si>
  <si>
    <t xml:space="preserve">1.5–4.0</t>
  </si>
  <si>
    <t xml:space="preserve">LDMOS</t>
  </si>
  <si>
    <t xml:space="preserve">RD06HVF1</t>
  </si>
  <si>
    <t xml:space="preserve">6</t>
  </si>
  <si>
    <t xml:space="preserve">Lower power LDMOS; QRP Class-E to 50 MHz; clean spectrum</t>
  </si>
  <si>
    <t xml:space="preserve">BLF574</t>
  </si>
  <si>
    <t xml:space="preserve">SOT539</t>
  </si>
  <si>
    <t xml:space="preserve">300</t>
  </si>
  <si>
    <t xml:space="preserve">Professional LDMOS; very high efficiency; expensive but superb</t>
  </si>
  <si>
    <t xml:space="preserve">1.5–3.5</t>
  </si>
  <si>
    <t xml:space="preserve">IXFN55N50</t>
  </si>
  <si>
    <t xml:space="preserve">TO-264</t>
  </si>
  <si>
    <t xml:space="preserve">500+</t>
  </si>
  <si>
    <t xml:space="preserve">VLF/LF/MF</t>
  </si>
  <si>
    <t xml:space="preserve">500 V rated; handles &gt;10 kV peak drain; ideal for VLF/LF/MF (136 kHz, 472 kHz) high-power Class-E. fT=0 in table (no RF fT spec) — RF capability warning suppressed for VLF/LF designs (&lt;1 MHz).</t>
  </si>
  <si>
    <t xml:space="preserve">2SK2231</t>
  </si>
  <si>
    <t xml:space="preserve">10–20</t>
  </si>
  <si>
    <t xml:space="preserve">Japanese RF MOSFET; excellent 160m–80m Class-E; good efficiency</t>
  </si>
  <si>
    <t xml:space="preserve">1.0–3.0</t>
  </si>
  <si>
    <t xml:space="preserve">MRF101AN</t>
  </si>
  <si>
    <t xml:space="preserve">NI-780</t>
  </si>
  <si>
    <t xml:space="preserve">100</t>
  </si>
  <si>
    <t xml:space="preserve">NXP HF power LDMOS; designed for HF SSB/FM; excellent Class-E candidate. ⚠ I_D=10A in column D is the CONTINUOUS drain current rating; pulsed I_D(pulsed)=20A. Continuous I_pk (C84) must be ≤ 10A.</t>
  </si>
  <si>
    <t xml:space="preserve">IRFP250</t>
  </si>
  <si>
    <t xml:space="preserve">TO-247</t>
  </si>
  <si>
    <t xml:space="preserve">80–150</t>
  </si>
  <si>
    <t xml:space="preserve">200V rating gives headroom at high Vcc; popular in medium-power 160m–80m designs</t>
  </si>
  <si>
    <t xml:space="preserve">VN66AF</t>
  </si>
  <si>
    <t xml:space="preserve">TO-202</t>
  </si>
  <si>
    <t xml:space="preserve">2–5</t>
  </si>
  <si>
    <t xml:space="preserve">⚠ OBSOLETE (discontinued by Siliconix/Vishay ~2010). Old Siliconix RF MOSFET; used by Sokal in original Class-E papers up to 145 MHz. Replace with BS170, 2N7000, or BF862 for new designs.</t>
  </si>
</sst>
</file>

<file path=xl/styles.xml><?xml version="1.0" encoding="utf-8"?>
<styleSheet xmlns="http://schemas.openxmlformats.org/spreadsheetml/2006/main">
  <numFmts count="5">
    <numFmt numFmtId="164" formatCode="General"/>
    <numFmt numFmtId="165" formatCode="0.0000"/>
    <numFmt numFmtId="166" formatCode="#"/>
    <numFmt numFmtId="167" formatCode="0"/>
    <numFmt numFmtId="168" formatCode="0.00"/>
  </numFmts>
  <fonts count="29">
    <font>
      <sz val="11"/>
      <color rgb="FF000000"/>
      <name val="Calibri"/>
      <family val="2"/>
      <charset val="1"/>
    </font>
    <font>
      <sz val="10"/>
      <name val="Arial"/>
      <family val="0"/>
    </font>
    <font>
      <sz val="10"/>
      <name val="Arial"/>
      <family val="0"/>
    </font>
    <font>
      <sz val="10"/>
      <name val="Arial"/>
      <family val="0"/>
    </font>
    <font>
      <b val="true"/>
      <sz val="11"/>
      <color rgb="FF000000"/>
      <name val="Cantarell Light"/>
      <family val="0"/>
      <charset val="1"/>
    </font>
    <font>
      <b val="true"/>
      <sz val="11"/>
      <name val="Cantarell Light"/>
      <family val="0"/>
      <charset val="1"/>
    </font>
    <font>
      <b val="true"/>
      <sz val="11"/>
      <color rgb="FFEEEEEE"/>
      <name val="Cantarell Light"/>
      <family val="0"/>
      <charset val="1"/>
    </font>
    <font>
      <b val="true"/>
      <sz val="12"/>
      <name val="Cantarell Light"/>
      <family val="0"/>
      <charset val="1"/>
    </font>
    <font>
      <b val="true"/>
      <sz val="9"/>
      <name val="Cantarell Light"/>
      <family val="0"/>
      <charset val="1"/>
    </font>
    <font>
      <b val="true"/>
      <sz val="10"/>
      <color rgb="FF0000FF"/>
      <name val="Cantarell Light"/>
      <family val="0"/>
      <charset val="1"/>
    </font>
    <font>
      <b val="true"/>
      <sz val="10"/>
      <name val="Cantarell Light"/>
      <family val="0"/>
      <charset val="1"/>
    </font>
    <font>
      <b val="true"/>
      <sz val="8.5"/>
      <color rgb="FF555555"/>
      <name val="Cantarell Light"/>
      <family val="0"/>
      <charset val="1"/>
    </font>
    <font>
      <b val="true"/>
      <i val="true"/>
      <sz val="8.5"/>
      <name val="Cantarell Light"/>
      <family val="0"/>
      <charset val="1"/>
    </font>
    <font>
      <b val="true"/>
      <sz val="8.5"/>
      <name val="Cantarell Light"/>
      <family val="0"/>
      <charset val="1"/>
    </font>
    <font>
      <i val="true"/>
      <sz val="11"/>
      <name val="Cambria"/>
      <family val="0"/>
      <charset val="1"/>
    </font>
    <font>
      <b val="true"/>
      <i val="true"/>
      <sz val="8.5"/>
      <color rgb="FF555555"/>
      <name val="Cantarell Light"/>
      <family val="0"/>
      <charset val="1"/>
    </font>
    <font>
      <b val="true"/>
      <sz val="12"/>
      <color rgb="FF000000"/>
      <name val="Cantarell Light"/>
      <family val="0"/>
      <charset val="1"/>
    </font>
    <font>
      <b val="true"/>
      <sz val="11"/>
      <color rgb="FF3465A4"/>
      <name val="Cantarell Light"/>
      <family val="0"/>
      <charset val="1"/>
    </font>
    <font>
      <b val="true"/>
      <sz val="10"/>
      <color rgb="FF000000"/>
      <name val="Cantarell Light"/>
      <family val="0"/>
      <charset val="1"/>
    </font>
    <font>
      <sz val="11"/>
      <name val="Calibri"/>
      <family val="2"/>
      <charset val="1"/>
    </font>
    <font>
      <b val="true"/>
      <u val="single"/>
      <sz val="12"/>
      <color rgb="FF000000"/>
      <name val="Cantarell Light"/>
      <family val="0"/>
      <charset val="1"/>
    </font>
    <font>
      <b val="true"/>
      <sz val="9"/>
      <color rgb="FFFF8800"/>
      <name val="Arial"/>
      <family val="0"/>
      <charset val="1"/>
    </font>
    <font>
      <i val="true"/>
      <sz val="9"/>
      <name val="Arial"/>
      <family val="0"/>
      <charset val="1"/>
    </font>
    <font>
      <sz val="10"/>
      <name val="Arial"/>
      <family val="2"/>
    </font>
    <font>
      <b val="true"/>
      <sz val="9"/>
      <color rgb="FF000000"/>
      <name val="Cantarell Light"/>
      <family val="0"/>
      <charset val="1"/>
    </font>
    <font>
      <sz val="11"/>
      <color rgb="FF000000"/>
      <name val="Cantarell Light"/>
      <family val="0"/>
      <charset val="1"/>
    </font>
    <font>
      <sz val="10"/>
      <color rgb="FF000000"/>
      <name val="Cantarell Light"/>
      <family val="0"/>
      <charset val="1"/>
    </font>
    <font>
      <sz val="9"/>
      <name val="Cantarell Light"/>
      <family val="0"/>
      <charset val="1"/>
    </font>
    <font>
      <sz val="11"/>
      <name val="Cantarell Light"/>
      <family val="0"/>
      <charset val="1"/>
    </font>
  </fonts>
  <fills count="3">
    <fill>
      <patternFill patternType="none"/>
    </fill>
    <fill>
      <patternFill patternType="gray125"/>
    </fill>
    <fill>
      <patternFill patternType="solid">
        <fgColor rgb="FFEEEEEE"/>
        <bgColor rgb="FFFFFFCC"/>
      </patternFill>
    </fill>
  </fills>
  <borders count="2">
    <border diagonalUp="false" diagonalDown="false">
      <left/>
      <right/>
      <top/>
      <bottom/>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center" textRotation="0" wrapText="false" indent="0" shrinkToFit="false"/>
      <protection locked="true" hidden="false"/>
    </xf>
    <xf numFmtId="164" fontId="4" fillId="0" borderId="0" xfId="0" applyFont="true" applyBorder="false" applyAlignment="true" applyProtection="true">
      <alignment horizontal="right" vertical="center" textRotation="0" wrapText="true" indent="0" shrinkToFit="false"/>
      <protection locked="true" hidden="false"/>
    </xf>
    <xf numFmtId="164" fontId="5" fillId="0" borderId="0" xfId="0" applyFont="true" applyBorder="false" applyAlignment="true" applyProtection="true">
      <alignment horizontal="right" vertical="center" textRotation="0" wrapText="true" indent="0" shrinkToFit="false"/>
      <protection locked="true" hidden="false"/>
    </xf>
    <xf numFmtId="164" fontId="5" fillId="0" borderId="0" xfId="0" applyFont="true" applyBorder="false" applyAlignment="true" applyProtection="true">
      <alignment horizontal="right"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true">
      <alignment horizontal="right" vertical="center" textRotation="0" wrapText="false" indent="0" shrinkToFit="false"/>
      <protection locked="true" hidden="false"/>
    </xf>
    <xf numFmtId="164" fontId="4" fillId="2" borderId="0" xfId="0" applyFont="true" applyBorder="false" applyAlignment="true" applyProtection="true">
      <alignment horizontal="right" vertical="center" textRotation="0" wrapText="false" indent="0" shrinkToFit="false"/>
      <protection locked="true" hidden="false"/>
    </xf>
    <xf numFmtId="164" fontId="4" fillId="2" borderId="0" xfId="0" applyFont="true" applyBorder="false" applyAlignment="true" applyProtection="true">
      <alignment horizontal="right" vertical="center" textRotation="0" wrapText="true" indent="0" shrinkToFit="false"/>
      <protection locked="true" hidden="false"/>
    </xf>
    <xf numFmtId="164" fontId="5" fillId="2" borderId="0" xfId="0" applyFont="true" applyBorder="false" applyAlignment="true" applyProtection="true">
      <alignment horizontal="right" vertical="center" textRotation="0" wrapText="true" indent="0" shrinkToFit="false"/>
      <protection locked="true" hidden="false"/>
    </xf>
    <xf numFmtId="164" fontId="5" fillId="2" borderId="0" xfId="0" applyFont="true" applyBorder="false" applyAlignment="true" applyProtection="true">
      <alignment horizontal="right" vertical="center" textRotation="0" wrapText="false" indent="0" shrinkToFit="false"/>
      <protection locked="true" hidden="false"/>
    </xf>
    <xf numFmtId="164" fontId="6" fillId="2" borderId="0" xfId="0" applyFont="true" applyBorder="false" applyAlignment="true" applyProtection="true">
      <alignment horizontal="right" vertical="center" textRotation="0" wrapText="false" indent="0" shrinkToFit="false"/>
      <protection locked="true" hidden="false"/>
    </xf>
    <xf numFmtId="164" fontId="7" fillId="2" borderId="0" xfId="0" applyFont="true" applyBorder="false" applyAlignment="true" applyProtection="true">
      <alignment horizontal="right" vertical="center" textRotation="0" wrapText="true" indent="0" shrinkToFit="false"/>
      <protection locked="true" hidden="false"/>
    </xf>
    <xf numFmtId="164" fontId="7" fillId="2" borderId="0" xfId="0" applyFont="true" applyBorder="false" applyAlignment="true" applyProtection="true">
      <alignment horizontal="right" vertical="center" textRotation="0" wrapText="false" indent="0" shrinkToFit="false"/>
      <protection locked="true" hidden="false"/>
    </xf>
    <xf numFmtId="164" fontId="8" fillId="2" borderId="0" xfId="0" applyFont="true" applyBorder="false" applyAlignment="true" applyProtection="true">
      <alignment horizontal="right" vertical="center" textRotation="0" wrapText="true" indent="0" shrinkToFit="false"/>
      <protection locked="true" hidden="false"/>
    </xf>
    <xf numFmtId="164" fontId="9" fillId="2" borderId="0" xfId="0" applyFont="true" applyBorder="false" applyAlignment="true" applyProtection="true">
      <alignment horizontal="right" vertical="center" textRotation="0" wrapText="true" indent="0" shrinkToFit="false"/>
      <protection locked="true" hidden="false"/>
    </xf>
    <xf numFmtId="164" fontId="10" fillId="2" borderId="0" xfId="0" applyFont="true" applyBorder="false" applyAlignment="true" applyProtection="true">
      <alignment horizontal="right" vertical="center" textRotation="0" wrapText="true" indent="0" shrinkToFit="false"/>
      <protection locked="true" hidden="false"/>
    </xf>
    <xf numFmtId="165" fontId="10" fillId="2" borderId="0" xfId="0" applyFont="true" applyBorder="false" applyAlignment="true" applyProtection="true">
      <alignment horizontal="right" vertical="center" textRotation="0" wrapText="true" indent="0" shrinkToFit="false"/>
      <protection locked="true" hidden="false"/>
    </xf>
    <xf numFmtId="164" fontId="0" fillId="2" borderId="0" xfId="0" applyFont="false" applyBorder="false" applyAlignment="true" applyProtection="true">
      <alignment horizontal="right" vertical="center" textRotation="0" wrapText="false" indent="0" shrinkToFit="false"/>
      <protection locked="true" hidden="false"/>
    </xf>
    <xf numFmtId="165" fontId="5" fillId="2" borderId="0" xfId="0" applyFont="true" applyBorder="false" applyAlignment="true" applyProtection="true">
      <alignment horizontal="right" vertical="center" textRotation="0" wrapText="true" indent="0" shrinkToFit="false"/>
      <protection locked="true" hidden="false"/>
    </xf>
    <xf numFmtId="164" fontId="9" fillId="2" borderId="0" xfId="0" applyFont="true" applyBorder="false" applyAlignment="true" applyProtection="true">
      <alignment horizontal="right" vertical="center" textRotation="0" wrapText="false" indent="0" shrinkToFit="false"/>
      <protection locked="true" hidden="false"/>
    </xf>
    <xf numFmtId="164" fontId="11" fillId="2" borderId="0" xfId="0" applyFont="true" applyBorder="false" applyAlignment="true" applyProtection="true">
      <alignment horizontal="right" vertical="center" textRotation="0" wrapText="true" indent="0" shrinkToFit="false"/>
      <protection locked="true" hidden="false"/>
    </xf>
    <xf numFmtId="164" fontId="12" fillId="2" borderId="0" xfId="0" applyFont="true" applyBorder="false" applyAlignment="true" applyProtection="true">
      <alignment horizontal="right" vertical="center" textRotation="0" wrapText="false" indent="0" shrinkToFit="false"/>
      <protection locked="true" hidden="false"/>
    </xf>
    <xf numFmtId="164" fontId="13" fillId="2" borderId="0" xfId="0" applyFont="true" applyBorder="false" applyAlignment="true" applyProtection="true">
      <alignment horizontal="right" vertical="center" textRotation="0" wrapText="true" indent="0" shrinkToFit="false"/>
      <protection locked="true" hidden="false"/>
    </xf>
    <xf numFmtId="164" fontId="10" fillId="2" borderId="0" xfId="0" applyFont="true" applyBorder="false" applyAlignment="true" applyProtection="true">
      <alignment horizontal="right" vertical="center" textRotation="0" wrapText="false" indent="0" shrinkToFit="false"/>
      <protection locked="true" hidden="false"/>
    </xf>
    <xf numFmtId="164" fontId="0" fillId="2" borderId="0" xfId="0" applyFont="false" applyBorder="false" applyAlignment="true" applyProtection="true">
      <alignment horizontal="right" vertical="center" textRotation="0" wrapText="true" indent="0" shrinkToFit="false"/>
      <protection locked="true" hidden="false"/>
    </xf>
    <xf numFmtId="164" fontId="14" fillId="2" borderId="0" xfId="0" applyFont="true" applyBorder="false" applyAlignment="true" applyProtection="true">
      <alignment horizontal="right" vertical="center" textRotation="0" wrapText="false" indent="0" shrinkToFit="false"/>
      <protection locked="true" hidden="false"/>
    </xf>
    <xf numFmtId="165" fontId="10" fillId="2" borderId="0" xfId="0" applyFont="true" applyBorder="false" applyAlignment="true" applyProtection="true">
      <alignment horizontal="right" vertical="center" textRotation="0" wrapText="false" indent="0" shrinkToFit="false"/>
      <protection locked="true" hidden="false"/>
    </xf>
    <xf numFmtId="164" fontId="15" fillId="2" borderId="0" xfId="0" applyFont="true" applyBorder="false" applyAlignment="true" applyProtection="true">
      <alignment horizontal="right" vertical="center" textRotation="0" wrapText="true" indent="0" shrinkToFit="false"/>
      <protection locked="true" hidden="false"/>
    </xf>
    <xf numFmtId="164" fontId="16" fillId="2" borderId="0" xfId="0" applyFont="true" applyBorder="false" applyAlignment="true" applyProtection="true">
      <alignment horizontal="right" vertical="center" textRotation="0" wrapText="false" indent="0" shrinkToFit="false"/>
      <protection locked="true" hidden="false"/>
    </xf>
    <xf numFmtId="164" fontId="5" fillId="2" borderId="1" xfId="0" applyFont="true" applyBorder="true" applyAlignment="true" applyProtection="true">
      <alignment horizontal="right" vertical="center" textRotation="0" wrapText="true" indent="0" shrinkToFit="false"/>
      <protection locked="true" hidden="false"/>
    </xf>
    <xf numFmtId="164" fontId="5" fillId="2" borderId="1" xfId="0" applyFont="true" applyBorder="true" applyAlignment="true" applyProtection="true">
      <alignment horizontal="right" vertical="center" textRotation="0" wrapText="false" indent="0" shrinkToFit="false"/>
      <protection locked="true" hidden="false"/>
    </xf>
    <xf numFmtId="164" fontId="17" fillId="2" borderId="0" xfId="0" applyFont="true" applyBorder="false" applyAlignment="true" applyProtection="true">
      <alignment horizontal="right" vertical="center" textRotation="0" wrapText="true" indent="0" shrinkToFit="false"/>
      <protection locked="true" hidden="false"/>
    </xf>
    <xf numFmtId="164" fontId="5" fillId="2" borderId="0" xfId="0" applyFont="true" applyBorder="false" applyAlignment="true" applyProtection="true">
      <alignment horizontal="left" vertical="center" textRotation="0" wrapText="false" indent="0" shrinkToFit="false"/>
      <protection locked="true" hidden="false"/>
    </xf>
    <xf numFmtId="164" fontId="0" fillId="2" borderId="0" xfId="0" applyFont="false" applyBorder="false" applyAlignment="true" applyProtection="false">
      <alignment horizontal="right" vertical="center" textRotation="0" wrapText="false" indent="0" shrinkToFit="false"/>
      <protection locked="true" hidden="false"/>
    </xf>
    <xf numFmtId="165" fontId="17" fillId="2" borderId="0" xfId="0" applyFont="true" applyBorder="false" applyAlignment="true" applyProtection="true">
      <alignment horizontal="right" vertical="center" textRotation="0" wrapText="true" indent="0" shrinkToFit="false"/>
      <protection locked="true" hidden="false"/>
    </xf>
    <xf numFmtId="164" fontId="16" fillId="2" borderId="0" xfId="0" applyFont="true" applyBorder="false" applyAlignment="true" applyProtection="true">
      <alignment horizontal="right" vertical="center" textRotation="0" wrapText="true" indent="0" shrinkToFit="false"/>
      <protection locked="true" hidden="false"/>
    </xf>
    <xf numFmtId="164" fontId="18" fillId="2" borderId="0" xfId="0" applyFont="true" applyBorder="false" applyAlignment="true" applyProtection="true">
      <alignment horizontal="right" vertical="center" textRotation="0" wrapText="true" indent="0" shrinkToFit="false"/>
      <protection locked="true" hidden="false"/>
    </xf>
    <xf numFmtId="164" fontId="19" fillId="2" borderId="0" xfId="0" applyFont="true" applyBorder="false" applyAlignment="true" applyProtection="true">
      <alignment horizontal="right" vertical="center" textRotation="0" wrapText="false" indent="0" shrinkToFit="false"/>
      <protection locked="true" hidden="false"/>
    </xf>
    <xf numFmtId="164" fontId="19" fillId="2" borderId="1" xfId="0" applyFont="true" applyBorder="true" applyAlignment="true" applyProtection="true">
      <alignment horizontal="right" vertical="center" textRotation="0" wrapText="false" indent="0" shrinkToFit="false"/>
      <protection locked="true" hidden="false"/>
    </xf>
    <xf numFmtId="166" fontId="5" fillId="2" borderId="0" xfId="0" applyFont="true" applyBorder="false" applyAlignment="true" applyProtection="true">
      <alignment horizontal="right" vertical="center" textRotation="0" wrapText="true" indent="0" shrinkToFit="false"/>
      <protection locked="true" hidden="false"/>
    </xf>
    <xf numFmtId="167" fontId="5" fillId="2" borderId="0" xfId="0" applyFont="true" applyBorder="false" applyAlignment="true" applyProtection="true">
      <alignment horizontal="right" vertical="center" textRotation="0" wrapText="true" indent="0" shrinkToFit="false"/>
      <protection locked="true" hidden="false"/>
    </xf>
    <xf numFmtId="164" fontId="4" fillId="2" borderId="1" xfId="0" applyFont="true" applyBorder="true" applyAlignment="true" applyProtection="true">
      <alignment horizontal="right" vertical="center" textRotation="0" wrapText="true" indent="0" shrinkToFit="false"/>
      <protection locked="true" hidden="false"/>
    </xf>
    <xf numFmtId="164" fontId="4" fillId="2" borderId="1" xfId="0" applyFont="true" applyBorder="true" applyAlignment="true" applyProtection="true">
      <alignment horizontal="right" vertical="center" textRotation="0" wrapText="false" indent="0" shrinkToFit="false"/>
      <protection locked="true" hidden="false"/>
    </xf>
    <xf numFmtId="165" fontId="4" fillId="2" borderId="0" xfId="0" applyFont="true" applyBorder="false" applyAlignment="true" applyProtection="true">
      <alignment horizontal="right" vertical="center" textRotation="0" wrapText="true" indent="0" shrinkToFit="false"/>
      <protection locked="true" hidden="false"/>
    </xf>
    <xf numFmtId="164" fontId="4" fillId="2" borderId="0" xfId="0" applyFont="true" applyBorder="false" applyAlignment="true" applyProtection="true">
      <alignment horizontal="left" vertical="center" textRotation="0" wrapText="false" indent="0" shrinkToFit="false"/>
      <protection locked="true" hidden="false"/>
    </xf>
    <xf numFmtId="164" fontId="20" fillId="2" borderId="0" xfId="0" applyFont="true" applyBorder="false" applyAlignment="true" applyProtection="true">
      <alignment horizontal="right" vertical="center" textRotation="0" wrapText="false" indent="0" shrinkToFit="false"/>
      <protection locked="true" hidden="false"/>
    </xf>
    <xf numFmtId="164" fontId="21" fillId="2" borderId="0" xfId="0" applyFont="true" applyBorder="false" applyAlignment="true" applyProtection="true">
      <alignment horizontal="right" vertical="center" textRotation="0" wrapText="false" indent="0" shrinkToFit="false"/>
      <protection locked="true" hidden="false"/>
    </xf>
    <xf numFmtId="164" fontId="22" fillId="0" borderId="0" xfId="0" applyFont="true" applyBorder="false" applyAlignment="true" applyProtection="true">
      <alignment horizontal="right"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4" fontId="0" fillId="2" borderId="0" xfId="0" applyFont="false" applyBorder="false" applyAlignment="true" applyProtection="true">
      <alignment horizontal="general" vertical="bottom" textRotation="0" wrapText="true" indent="0" shrinkToFit="false"/>
      <protection locked="true" hidden="false"/>
    </xf>
    <xf numFmtId="164" fontId="0" fillId="2" borderId="0" xfId="0" applyFont="false" applyBorder="false" applyAlignment="true" applyProtection="true">
      <alignment horizontal="left" vertical="bottom"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6" fillId="2" borderId="0" xfId="0" applyFont="true" applyBorder="false" applyAlignment="true" applyProtection="true">
      <alignment horizontal="left" vertical="center" textRotation="0" wrapText="true" indent="0" shrinkToFit="false"/>
      <protection locked="true" hidden="false"/>
    </xf>
    <xf numFmtId="164" fontId="24" fillId="2" borderId="0" xfId="0" applyFont="true" applyBorder="false" applyAlignment="true" applyProtection="true">
      <alignment horizontal="left" vertical="center" textRotation="0" wrapText="true" indent="0" shrinkToFit="false"/>
      <protection locked="true" hidden="false"/>
    </xf>
    <xf numFmtId="164" fontId="9" fillId="2" borderId="0" xfId="0" applyFont="true" applyBorder="false" applyAlignment="true" applyProtection="true">
      <alignment horizontal="left" vertical="center" textRotation="0" wrapText="true" indent="0" shrinkToFit="false"/>
      <protection locked="true" hidden="false"/>
    </xf>
    <xf numFmtId="164" fontId="18" fillId="2" borderId="0" xfId="0" applyFont="true" applyBorder="false" applyAlignment="true" applyProtection="true">
      <alignment horizontal="left" vertical="center" textRotation="0" wrapText="true" indent="0" shrinkToFit="false"/>
      <protection locked="true" hidden="false"/>
    </xf>
    <xf numFmtId="164" fontId="16" fillId="2" borderId="0" xfId="0" applyFont="true" applyBorder="false" applyAlignment="true" applyProtection="true">
      <alignment horizontal="general" vertical="center" textRotation="0" wrapText="tru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4" fillId="2" borderId="1" xfId="0" applyFont="true" applyBorder="true" applyAlignment="true" applyProtection="true">
      <alignment horizontal="left" vertical="center" textRotation="0" wrapText="true" indent="0" shrinkToFit="false"/>
      <protection locked="true" hidden="false"/>
    </xf>
    <xf numFmtId="164" fontId="0" fillId="2" borderId="1" xfId="0" applyFont="false" applyBorder="true" applyAlignment="true" applyProtection="true">
      <alignment horizontal="general" vertical="bottom" textRotation="0" wrapText="true" indent="0" shrinkToFit="false"/>
      <protection locked="true" hidden="false"/>
    </xf>
    <xf numFmtId="165" fontId="17" fillId="2" borderId="0" xfId="0" applyFont="true" applyBorder="false" applyAlignment="true" applyProtection="true">
      <alignment horizontal="center" vertical="center" textRotation="0" wrapText="true" indent="0" shrinkToFit="false"/>
      <protection locked="true" hidden="false"/>
    </xf>
    <xf numFmtId="164" fontId="4" fillId="2" borderId="0" xfId="0" applyFont="true" applyBorder="false" applyAlignment="true" applyProtection="true">
      <alignment horizontal="left" vertical="center" textRotation="0" wrapText="true" indent="0" shrinkToFit="false"/>
      <protection locked="true" hidden="false"/>
    </xf>
    <xf numFmtId="164" fontId="4" fillId="2" borderId="0" xfId="0" applyFont="true" applyBorder="false" applyAlignment="true" applyProtection="true">
      <alignment horizontal="left" vertical="bottom" textRotation="0" wrapText="true" indent="0" shrinkToFit="false"/>
      <protection locked="true" hidden="false"/>
    </xf>
    <xf numFmtId="164" fontId="0" fillId="2" borderId="0" xfId="0" applyFont="false" applyBorder="false" applyAlignment="true" applyProtection="true">
      <alignment horizontal="right" vertical="bottom" textRotation="0" wrapText="true" indent="0" shrinkToFit="false"/>
      <protection locked="true" hidden="false"/>
    </xf>
    <xf numFmtId="164" fontId="0" fillId="2" borderId="0" xfId="0" applyFont="false" applyBorder="false" applyAlignment="true" applyProtection="true">
      <alignment horizontal="center" vertical="bottom" textRotation="0" wrapText="true" indent="0" shrinkToFit="false"/>
      <protection locked="true" hidden="false"/>
    </xf>
    <xf numFmtId="164" fontId="4" fillId="2" borderId="0" xfId="0" applyFont="true" applyBorder="false" applyAlignment="true" applyProtection="true">
      <alignment horizontal="center" vertical="center" textRotation="0" wrapText="true" indent="0" shrinkToFit="false"/>
      <protection locked="true" hidden="false"/>
    </xf>
    <xf numFmtId="165" fontId="4" fillId="2" borderId="0" xfId="0" applyFont="true" applyBorder="false" applyAlignment="true" applyProtection="true">
      <alignment horizontal="center" vertical="center" textRotation="0" wrapText="true" indent="0" shrinkToFit="false"/>
      <protection locked="true" hidden="false"/>
    </xf>
    <xf numFmtId="168" fontId="4" fillId="2" borderId="0" xfId="0" applyFont="true" applyBorder="false" applyAlignment="true" applyProtection="true">
      <alignment horizontal="center" vertical="center" textRotation="0" wrapText="tru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center" vertical="bottom" textRotation="0" wrapText="true" indent="0" shrinkToFit="false"/>
      <protection locked="true" hidden="false"/>
    </xf>
    <xf numFmtId="164" fontId="16" fillId="0" borderId="0" xfId="0" applyFont="true" applyBorder="false" applyAlignment="true" applyProtection="true">
      <alignment horizontal="left" vertical="center" textRotation="0" wrapText="true" indent="0" shrinkToFit="false"/>
      <protection locked="true" hidden="false"/>
    </xf>
    <xf numFmtId="164" fontId="4"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5" fillId="2" borderId="0" xfId="0" applyFont="true" applyBorder="false" applyAlignment="true" applyProtection="true">
      <alignment horizontal="general" vertical="bottom" textRotation="0" wrapText="false" indent="0" shrinkToFit="false"/>
      <protection locked="true" hidden="false"/>
    </xf>
    <xf numFmtId="164" fontId="18" fillId="2" borderId="0" xfId="0" applyFont="true" applyBorder="false" applyAlignment="true" applyProtection="true">
      <alignment horizontal="left" vertical="bottom" textRotation="0" wrapText="true" indent="0" shrinkToFit="false"/>
      <protection locked="true" hidden="false"/>
    </xf>
    <xf numFmtId="164" fontId="9" fillId="2" borderId="0" xfId="0" applyFont="true" applyBorder="false" applyAlignment="true" applyProtection="true">
      <alignment horizontal="left" vertical="bottom" textRotation="0" wrapText="true" indent="0" shrinkToFit="false"/>
      <protection locked="true" hidden="false"/>
    </xf>
    <xf numFmtId="164" fontId="26" fillId="2" borderId="0" xfId="0" applyFont="tru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right" vertical="bottom" textRotation="0" wrapText="true" indent="0" shrinkToFit="false"/>
      <protection locked="true" hidden="false"/>
    </xf>
    <xf numFmtId="164" fontId="4" fillId="2" borderId="1" xfId="0" applyFont="true" applyBorder="true" applyAlignment="true" applyProtection="true">
      <alignment horizontal="center" vertical="bottom" textRotation="0" wrapText="true" indent="0" shrinkToFit="false"/>
      <protection locked="true" hidden="false"/>
    </xf>
    <xf numFmtId="164" fontId="4" fillId="2" borderId="1" xfId="0" applyFont="true" applyBorder="true" applyAlignment="true" applyProtection="true">
      <alignment horizontal="left" vertical="bottom" textRotation="0" wrapText="true" indent="0" shrinkToFit="false"/>
      <protection locked="true" hidden="false"/>
    </xf>
    <xf numFmtId="164" fontId="25" fillId="2" borderId="1" xfId="0" applyFont="true" applyBorder="tru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right" vertical="bottom" textRotation="0" wrapText="true" indent="0" shrinkToFit="false"/>
      <protection locked="true" hidden="false"/>
    </xf>
    <xf numFmtId="165" fontId="17" fillId="2" borderId="0" xfId="0" applyFont="true" applyBorder="false" applyAlignment="true" applyProtection="true">
      <alignment horizontal="center" vertical="bottom" textRotation="0" wrapText="true" indent="0" shrinkToFit="false"/>
      <protection locked="true" hidden="false"/>
    </xf>
    <xf numFmtId="165" fontId="25" fillId="2" borderId="0" xfId="0" applyFont="true" applyBorder="false" applyAlignment="true" applyProtection="true">
      <alignment horizontal="general" vertical="bottom" textRotation="0" wrapText="false" indent="0" shrinkToFit="false"/>
      <protection locked="true" hidden="false"/>
    </xf>
    <xf numFmtId="165" fontId="4" fillId="2" borderId="0" xfId="0" applyFont="true" applyBorder="false" applyAlignment="true" applyProtection="true">
      <alignment horizontal="center" vertical="bottom" textRotation="0" wrapText="true" indent="0" shrinkToFit="false"/>
      <protection locked="true" hidden="false"/>
    </xf>
    <xf numFmtId="164" fontId="25" fillId="2" borderId="0" xfId="0" applyFont="true" applyBorder="false" applyAlignment="true" applyProtection="true">
      <alignment horizontal="general" vertical="bottom" textRotation="0" wrapText="tru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27" fillId="2" borderId="0" xfId="0" applyFont="true" applyBorder="false" applyAlignment="true" applyProtection="true">
      <alignment horizontal="general" vertical="bottom" textRotation="0" wrapText="false" indent="0" shrinkToFit="false"/>
      <protection locked="true" hidden="false"/>
    </xf>
    <xf numFmtId="164" fontId="28" fillId="2" borderId="0" xfId="0" applyFont="true" applyBorder="fals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center" vertical="center" textRotation="0" wrapText="false" indent="0" shrinkToFit="false"/>
      <protection locked="true" hidden="false"/>
    </xf>
    <xf numFmtId="164" fontId="8" fillId="2" borderId="1" xfId="0" applyFont="true" applyBorder="true" applyAlignment="true" applyProtection="true">
      <alignment horizontal="center" vertical="center" textRotation="0" wrapText="true" indent="0" shrinkToFit="false"/>
      <protection locked="true" hidden="false"/>
    </xf>
    <xf numFmtId="164" fontId="0" fillId="2" borderId="1" xfId="0" applyFont="true" applyBorder="true" applyAlignment="true" applyProtection="true">
      <alignment horizontal="center" vertical="bottom" textRotation="0" wrapText="tru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8" fillId="2" borderId="0" xfId="0" applyFont="true" applyBorder="false" applyAlignment="true" applyProtection="true">
      <alignment horizontal="center" vertical="center" textRotation="0" wrapText="fals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0" fillId="2" borderId="0" xfId="0" applyFont="true" applyBorder="false" applyAlignment="true" applyProtection="true">
      <alignment horizontal="center" vertical="bottom" textRotation="0" wrapText="false" indent="0" shrinkToFit="false"/>
      <protection locked="true" hidden="false"/>
    </xf>
    <xf numFmtId="164" fontId="4" fillId="2"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465A4"/>
      <rgbColor rgb="FF33CCCC"/>
      <rgbColor rgb="FF99CC00"/>
      <rgbColor rgb="FFFFCC00"/>
      <rgbColor rgb="FFFF88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3"/>
  <sheetViews>
    <sheetView showFormulas="false" showGridLines="true" showRowColHeaders="true" showZeros="true" rightToLeft="false" tabSelected="true" showOutlineSymbols="true" defaultGridColor="true" view="normal" topLeftCell="A1" colorId="64" zoomScale="200" zoomScaleNormal="200" zoomScalePageLayoutView="100" workbookViewId="0">
      <selection pane="topLeft" activeCell="B6" activeCellId="0" sqref="B6"/>
    </sheetView>
  </sheetViews>
  <sheetFormatPr defaultColWidth="8.640625" defaultRowHeight="15" customHeight="false" zeroHeight="false" outlineLevelRow="0" outlineLevelCol="0"/>
  <cols>
    <col collapsed="false" customWidth="true" hidden="false" outlineLevel="0" max="1" min="1" style="1" width="2.55"/>
    <col collapsed="false" customWidth="true" hidden="false" outlineLevel="0" max="2" min="2" style="1" width="81.39"/>
    <col collapsed="false" customWidth="true" hidden="false" outlineLevel="0" max="3" min="3" style="2" width="16.01"/>
    <col collapsed="false" customWidth="true" hidden="false" outlineLevel="0" max="4" min="4" style="1" width="6.72"/>
    <col collapsed="false" customWidth="true" hidden="false" outlineLevel="0" max="5" min="5" style="3" width="22.53"/>
    <col collapsed="false" customWidth="true" hidden="false" outlineLevel="0" max="6" min="6" style="4" width="69.56"/>
    <col collapsed="false" customWidth="true" hidden="false" outlineLevel="0" max="7" min="7" style="4" width="38.33"/>
    <col collapsed="false" customWidth="true" hidden="false" outlineLevel="0" max="8" min="8" style="3" width="45.29"/>
    <col collapsed="false" customWidth="true" hidden="false" outlineLevel="0" max="9" min="9" style="3" width="41.95"/>
    <col collapsed="false" customWidth="true" hidden="true" outlineLevel="0" max="10" min="10" style="4" width="2.55"/>
    <col collapsed="false" customWidth="true" hidden="false" outlineLevel="0" max="11" min="11" style="3" width="2.55"/>
    <col collapsed="false" customWidth="false" hidden="false" outlineLevel="0" max="12" min="12" style="3" width="8.64"/>
    <col collapsed="false" customWidth="false" hidden="false" outlineLevel="0" max="256" min="13" style="1" width="8.64"/>
    <col collapsed="false" customWidth="false" hidden="false" outlineLevel="0" max="16383" min="257" style="5" width="8.64"/>
    <col collapsed="false" customWidth="true" hidden="false" outlineLevel="0" max="16384" min="16384" style="6" width="11.53"/>
  </cols>
  <sheetData>
    <row r="1" customFormat="false" ht="15" hidden="false" customHeight="false" outlineLevel="0" collapsed="false">
      <c r="A1" s="7"/>
      <c r="B1" s="8"/>
      <c r="C1" s="8"/>
      <c r="D1" s="7"/>
      <c r="E1" s="9"/>
      <c r="F1" s="10"/>
      <c r="G1" s="10"/>
      <c r="H1" s="9"/>
      <c r="I1" s="9"/>
      <c r="J1" s="11"/>
      <c r="K1" s="9"/>
    </row>
    <row r="2" customFormat="false" ht="15.65" hidden="false" customHeight="false" outlineLevel="0" collapsed="false">
      <c r="A2" s="7"/>
      <c r="B2" s="12" t="s">
        <v>0</v>
      </c>
      <c r="C2" s="12"/>
      <c r="D2" s="13"/>
      <c r="E2" s="12"/>
      <c r="F2" s="13"/>
      <c r="G2" s="13"/>
      <c r="H2" s="12"/>
      <c r="I2" s="9"/>
      <c r="J2" s="11"/>
      <c r="K2" s="9"/>
    </row>
    <row r="3" customFormat="false" ht="15" hidden="false" customHeight="false" outlineLevel="0" collapsed="false">
      <c r="A3" s="7"/>
      <c r="B3" s="14" t="s">
        <v>1</v>
      </c>
      <c r="C3" s="12"/>
      <c r="D3" s="13"/>
      <c r="E3" s="12"/>
      <c r="F3" s="13"/>
      <c r="G3" s="13"/>
      <c r="H3" s="12"/>
      <c r="I3" s="9"/>
      <c r="J3" s="11"/>
      <c r="K3" s="9"/>
    </row>
    <row r="4" customFormat="false" ht="15" hidden="false" customHeight="false" outlineLevel="0" collapsed="false">
      <c r="A4" s="7"/>
      <c r="B4" s="15" t="s">
        <v>2</v>
      </c>
      <c r="C4" s="12"/>
      <c r="D4" s="13"/>
      <c r="E4" s="12"/>
      <c r="F4" s="13"/>
      <c r="G4" s="13"/>
      <c r="H4" s="12"/>
      <c r="I4" s="9"/>
      <c r="J4" s="11"/>
      <c r="K4" s="9"/>
    </row>
    <row r="5" customFormat="false" ht="15" hidden="false" customHeight="false" outlineLevel="0" collapsed="false">
      <c r="A5" s="7"/>
      <c r="B5" s="15"/>
      <c r="C5" s="12"/>
      <c r="D5" s="13"/>
      <c r="E5" s="12"/>
      <c r="F5" s="13"/>
      <c r="G5" s="13"/>
      <c r="H5" s="12"/>
      <c r="I5" s="9"/>
      <c r="J5" s="11"/>
      <c r="K5" s="9"/>
    </row>
    <row r="6" customFormat="false" ht="112.3" hidden="false" customHeight="false" outlineLevel="0" collapsed="false">
      <c r="A6" s="7"/>
      <c r="B6" s="16" t="s">
        <v>3</v>
      </c>
      <c r="C6" s="16" t="str">
        <f aca="false">IF(NOT(ISNUMBER(C88)),"🚨 CRITICAL: Enable iterative calculation (File→Options→Formulas, 100 iter, 0.0001 tol) then press F9",IF(C42&gt;0,"⚡ Press F9 until η (D6) stops changing. Current η="&amp;TEXT(IF(ISNUMBER(C88),C88,C21),"0.0000")&amp;" — if this value changes when you press F9, keep pressing. When stable: ✅ CONVERGED.","⚠ R invalid — check QL input"))</f>
        <v>⚡ Press F9 until η (D6) stops changing. Current η=00.001 — if this value changes when you press F9, keep pressing. When stable: ✅ CONVERGED.</v>
      </c>
      <c r="D6" s="17" t="n">
        <f aca="false">C88</f>
        <v>0.802763588808218</v>
      </c>
      <c r="E6" s="12"/>
      <c r="F6" s="13"/>
      <c r="G6" s="13"/>
      <c r="H6" s="18"/>
      <c r="I6" s="9"/>
      <c r="J6" s="11"/>
      <c r="K6" s="19"/>
    </row>
    <row r="7" customFormat="false" ht="15" hidden="false" customHeight="false" outlineLevel="0" collapsed="false">
      <c r="A7" s="7"/>
      <c r="B7" s="20"/>
      <c r="C7" s="12"/>
      <c r="D7" s="13"/>
      <c r="E7" s="12"/>
      <c r="F7" s="13"/>
      <c r="G7" s="13"/>
      <c r="H7" s="12"/>
      <c r="I7" s="9"/>
      <c r="J7" s="11"/>
      <c r="K7" s="9"/>
    </row>
    <row r="8" customFormat="false" ht="15" hidden="false" customHeight="false" outlineLevel="0" collapsed="false">
      <c r="A8" s="7"/>
      <c r="B8" s="13" t="s">
        <v>4</v>
      </c>
      <c r="C8" s="8"/>
      <c r="D8" s="13"/>
      <c r="E8" s="12"/>
      <c r="F8" s="13"/>
      <c r="G8" s="13"/>
      <c r="H8" s="12"/>
      <c r="I8" s="9"/>
      <c r="J8" s="11"/>
      <c r="K8" s="9"/>
    </row>
    <row r="9" customFormat="false" ht="15" hidden="false" customHeight="false" outlineLevel="0" collapsed="false">
      <c r="A9" s="7"/>
      <c r="B9" s="13" t="s">
        <v>5</v>
      </c>
      <c r="C9" s="21"/>
      <c r="D9" s="22"/>
      <c r="E9" s="23"/>
      <c r="F9" s="22"/>
      <c r="G9" s="22"/>
      <c r="H9" s="23"/>
      <c r="I9" s="9" t="str">
        <f aca="false">IF(ISNUMBER(IFERROR(VLOOKUP(B9,'MOSFET Reference Table'!$A:$E,5,0)*1,0)),"","⚠ LDMOS/no Rds(on) — efficiency model INACTIVE for this device. C88 returns input η (C20) unchanged; no loss calculation is performed. Verify η from manufacturer datasheet or LTspice simulation.")</f>
        <v/>
      </c>
      <c r="J9" s="11"/>
      <c r="K9" s="9"/>
    </row>
    <row r="10" customFormat="false" ht="15" hidden="false" customHeight="false" outlineLevel="0" collapsed="false">
      <c r="A10" s="7"/>
      <c r="B10" s="24" t="s">
        <v>6</v>
      </c>
      <c r="C10" s="25"/>
      <c r="D10" s="26"/>
      <c r="E10" s="12"/>
      <c r="F10" s="13"/>
      <c r="G10" s="13"/>
      <c r="H10" s="12"/>
      <c r="I10" s="9"/>
      <c r="J10" s="11"/>
      <c r="K10" s="9"/>
    </row>
    <row r="11" customFormat="false" ht="15" hidden="false" customHeight="false" outlineLevel="0" collapsed="false">
      <c r="A11" s="7"/>
      <c r="B11" s="27" t="n">
        <f aca="false">C84</f>
        <v>53.43</v>
      </c>
      <c r="C11" s="28"/>
      <c r="D11" s="13"/>
      <c r="E11" s="12"/>
      <c r="F11" s="13"/>
      <c r="G11" s="13"/>
      <c r="H11" s="12"/>
      <c r="I11" s="9"/>
      <c r="J11" s="11"/>
      <c r="K11" s="9"/>
    </row>
    <row r="12" customFormat="false" ht="15" hidden="false" customHeight="false" outlineLevel="0" collapsed="false">
      <c r="A12" s="7"/>
      <c r="B12" s="10" t="str">
        <f aca="false">IF(IFERROR(VLOOKUP(B9,'MOSFET Reference Table'!$A:$C,3,0)*1,0)&lt;C84,"🚨 V_DSS TOO LOW — MOSFET WILL FAIL! V_DSS="&amp;TEXT(IFERROR(VLOOKUP(B9,'MOSFET Reference Table'!$A:$C,3,0),"?"),"0")&amp;"V &lt; required "&amp;TEXT(C84,"0")&amp;"V",IF(IFERROR(VLOOKUP(B9,'MOSFET Reference Table'!$A:$D,4,0)*1,999)&gt;=C86,"✅ V_DSS OK | I_D(cont) OK vs I_pk (⚠ verify I_D(pulsed) ≥ I_pk if I_D(cont) is marginal)",IF(IFERROR(VLOOKUP(B9,'MOSFET Reference Table'!$A:$D,4,0)*1,999)&gt;=C86/2,"⚠ V_DSS OK | I_D(cont)="&amp;TEXT(IFERROR(VLOOKUP(B9,'MOSFET Reference Table'!$A:$D,4,0),"?"),"0.0")&amp;"A &lt; I_pk="&amp;TEXT(C86,"0.00")&amp;"A — I_D(cont) &lt; I_pk but pulsed rating is typically 2-4× higher. Verify I_D(pulsed) from datasheet ≥ I_pk.","✅ V_DSS OK | ⚠ I_D(cont)="&amp;TEXT(IFERROR(VLOOKUP(B9,'MOSFET Reference Table'!$A:$D,4,0),"?"),"0.0")&amp;"A &lt; I_pk="&amp;TEXT(C86,"0.00")&amp;"A — check I_D(pulsed) in datasheet")))</f>
        <v>✅ V_DSS OK | I_D(cont) OK vs I_pk (⚠ verify I_D(pulsed) ≥ I_pk if I_D(cont) is marginal)</v>
      </c>
      <c r="C12" s="28"/>
      <c r="D12" s="13"/>
      <c r="E12" s="12"/>
      <c r="F12" s="13"/>
      <c r="G12" s="13"/>
      <c r="H12" s="12"/>
      <c r="I12" s="9"/>
      <c r="J12" s="11"/>
      <c r="K12" s="9"/>
    </row>
    <row r="13" customFormat="false" ht="15" hidden="false" customHeight="false" outlineLevel="0" collapsed="false">
      <c r="A13" s="7"/>
      <c r="B13" s="22"/>
      <c r="C13" s="28"/>
      <c r="D13" s="13"/>
      <c r="E13" s="12"/>
      <c r="F13" s="13"/>
      <c r="G13" s="13"/>
      <c r="H13" s="12"/>
      <c r="I13" s="9"/>
      <c r="J13" s="11"/>
      <c r="K13" s="9"/>
    </row>
    <row r="14" customFormat="false" ht="15" hidden="false" customHeight="false" outlineLevel="0" collapsed="false">
      <c r="A14" s="7"/>
      <c r="B14" s="29" t="s">
        <v>7</v>
      </c>
      <c r="C14" s="8"/>
      <c r="D14" s="7"/>
      <c r="E14" s="9"/>
      <c r="F14" s="10"/>
      <c r="G14" s="10"/>
      <c r="H14" s="9"/>
      <c r="I14" s="9"/>
      <c r="J14" s="11"/>
      <c r="K14" s="9"/>
    </row>
    <row r="15" customFormat="false" ht="15" hidden="false" customHeight="false" outlineLevel="0" collapsed="false">
      <c r="A15" s="7"/>
      <c r="B15" s="30" t="s">
        <v>8</v>
      </c>
      <c r="C15" s="30" t="s">
        <v>9</v>
      </c>
      <c r="D15" s="31" t="s">
        <v>10</v>
      </c>
      <c r="E15" s="30"/>
      <c r="F15" s="31"/>
      <c r="G15" s="31"/>
      <c r="H15" s="30"/>
      <c r="I15" s="30"/>
      <c r="J15" s="11"/>
      <c r="K15" s="9"/>
    </row>
    <row r="16" customFormat="false" ht="15" hidden="false" customHeight="false" outlineLevel="0" collapsed="false">
      <c r="A16" s="7"/>
      <c r="B16" s="9" t="s">
        <v>11</v>
      </c>
      <c r="C16" s="32" t="n">
        <v>5</v>
      </c>
      <c r="D16" s="33" t="s">
        <v>12</v>
      </c>
      <c r="E16" s="9"/>
      <c r="F16" s="9"/>
      <c r="G16" s="10"/>
      <c r="H16" s="9"/>
      <c r="I16" s="9"/>
      <c r="J16" s="11"/>
      <c r="K16" s="9"/>
    </row>
    <row r="17" customFormat="false" ht="15" hidden="false" customHeight="false" outlineLevel="0" collapsed="false">
      <c r="A17" s="7"/>
      <c r="B17" s="9" t="s">
        <v>13</v>
      </c>
      <c r="C17" s="32" t="n">
        <v>0.4</v>
      </c>
      <c r="D17" s="33" t="s">
        <v>14</v>
      </c>
      <c r="E17" s="9"/>
      <c r="F17" s="9"/>
      <c r="G17" s="10"/>
      <c r="H17" s="9"/>
      <c r="I17" s="9"/>
      <c r="J17" s="11"/>
      <c r="K17" s="9"/>
    </row>
    <row r="18" customFormat="false" ht="15" hidden="false" customHeight="false" outlineLevel="0" collapsed="false">
      <c r="A18" s="7"/>
      <c r="B18" s="9" t="s">
        <v>15</v>
      </c>
      <c r="C18" s="32" t="n">
        <v>7</v>
      </c>
      <c r="D18" s="33" t="s">
        <v>16</v>
      </c>
      <c r="E18" s="9" t="str">
        <f aca="false">IF(C18&gt;1000,"🚨 Frequency appears to be in Hz, not MHz. Enter MHz only (e.g., 14 for 14 MHz).",IF(C18&lt;0.001,"🚨 Frequency appears too low. Enter value in MHz.","✅ f = "&amp;TEXT(C18,"0.000")&amp;" MHz"))</f>
        <v>✅ f = 7.000 MHz</v>
      </c>
      <c r="F18" s="9"/>
      <c r="G18" s="10"/>
      <c r="H18" s="9"/>
      <c r="I18" s="9"/>
      <c r="J18" s="11"/>
      <c r="K18" s="9"/>
    </row>
    <row r="19" customFormat="false" ht="40.65" hidden="false" customHeight="false" outlineLevel="0" collapsed="false">
      <c r="A19" s="7"/>
      <c r="B19" s="9" t="s">
        <v>17</v>
      </c>
      <c r="C19" s="32" t="n">
        <v>5</v>
      </c>
      <c r="D19" s="33" t="s">
        <v>18</v>
      </c>
      <c r="E19" s="9" t="str">
        <f aca="false">IF(NOT(ISNUMBER(C19)),"QL must be a number (e.g., 5)",IF(C19&lt;=0,"QL must be positive (min 1.7879)",IF(C19&lt;1.7879,"QL&lt;1.7879 minimum — Class-E impossible",IF(C18&gt;30,"QL valid. For f&gt;30 MHz, try QL=3–5 to keep L2 manageable.",IF(C18&gt;14,"QL valid. For 14–30 MHz HF, QL=5–7 recommended.",IF(C18&gt;3,"QL valid. For 3–14 MHz HF, QL=5–10 gives good balance.","QL valid. For LF/MF (&lt;3 MHz), QL=7–15 allows excellent efficiency."))))))</f>
        <v>QL valid. For 3–14 MHz HF, QL=5–10 gives good balance.</v>
      </c>
      <c r="F19" s="9"/>
      <c r="G19" s="10"/>
      <c r="H19" s="9"/>
      <c r="I19" s="9"/>
      <c r="J19" s="11"/>
      <c r="K19" s="9"/>
    </row>
    <row r="20" customFormat="false" ht="15" hidden="false" customHeight="false" outlineLevel="0" collapsed="false">
      <c r="A20" s="7"/>
      <c r="B20" s="9" t="s">
        <v>19</v>
      </c>
      <c r="C20" s="32" t="n">
        <v>0</v>
      </c>
      <c r="D20" s="33" t="s">
        <v>12</v>
      </c>
      <c r="E20" s="9"/>
      <c r="F20" s="9"/>
      <c r="G20" s="10"/>
      <c r="H20" s="9"/>
      <c r="I20" s="9"/>
      <c r="J20" s="11"/>
      <c r="K20" s="9"/>
    </row>
    <row r="21" customFormat="false" ht="79.85" hidden="false" customHeight="false" outlineLevel="0" collapsed="false">
      <c r="A21" s="7"/>
      <c r="B21" s="9" t="s">
        <v>20</v>
      </c>
      <c r="C21" s="32" t="n">
        <v>0.92</v>
      </c>
      <c r="D21" s="33" t="s">
        <v>18</v>
      </c>
      <c r="E21" s="9" t="str">
        <f aca="false">IF(OR(C21&lt;=0,C21&gt;=1),"🚨 FATAL: η must be between 0.01 and 0.99 (e.g., 0.85)",IF(ISNUMBER(C88),IF(ABS(C88-C21)&gt;0.02,"ℹ C21="&amp;TEXT(C21,"0%")&amp;" differs from analytical C88="&amp;TEXT(C88,"0.0%")&amp;". C88 (predicted η) is always used for I_dc — C21 is informational only.","✅ η (C88) converged. C21 is informational only."),"⚠ C88 not numeric — check MOSFET table or enter η in C21"))</f>
        <v>ℹ C21=92% differs from analytical C88=80%. C88 (predicted η) is always used for I_dc — C21 is informational only.</v>
      </c>
      <c r="F21" s="9"/>
      <c r="G21" s="10"/>
      <c r="H21" s="9"/>
      <c r="I21" s="9"/>
      <c r="J21" s="11"/>
      <c r="K21" s="9"/>
    </row>
    <row r="22" customFormat="false" ht="66.75" hidden="false" customHeight="false" outlineLevel="0" collapsed="false">
      <c r="A22" s="7"/>
      <c r="B22" s="9" t="s">
        <v>21</v>
      </c>
      <c r="C22" s="32" t="n">
        <v>0.05</v>
      </c>
      <c r="D22" s="33" t="s">
        <v>22</v>
      </c>
      <c r="E22" s="9"/>
      <c r="F22" s="9" t="s">
        <v>23</v>
      </c>
      <c r="G22" s="10"/>
      <c r="H22" s="9"/>
      <c r="I22" s="9"/>
      <c r="J22" s="11"/>
      <c r="K22" s="9"/>
    </row>
    <row r="23" customFormat="false" ht="40.5" hidden="false" customHeight="false" outlineLevel="0" collapsed="false">
      <c r="A23" s="7"/>
      <c r="B23" s="9" t="s">
        <v>24</v>
      </c>
      <c r="C23" s="32" t="n">
        <v>0.1</v>
      </c>
      <c r="D23" s="33" t="s">
        <v>22</v>
      </c>
      <c r="E23" s="9"/>
      <c r="F23" s="9" t="s">
        <v>25</v>
      </c>
      <c r="G23" s="9" t="str">
        <f aca="false">IF(AND(ISNUMBER(C23),ISNUMBER(C43),MAX(C44,0.001)&gt;0),IF(ABS(C23*C43/(MAX(C44,0.001))-0.01)&gt;0.005,"⚠ RFC actual loss="&amp;TEXT(C23*C43/(MAX(C44,0.001))*100,"0.0")&amp;"% vs Sokal fixed 1% (−0.01 term). Δη="&amp;TEXT(C23*C43/(MAX(C44,0.001))-0.01,"0.000")&amp;". Adjust input η (C20) accordingly.","✅ RFC loss≈"&amp;TEXT(C23*C43/(MAX(C44,0.001))*100,"0.0")&amp;"% — Sokal −0.01 fixed term accurate."),"—")</f>
        <v>⚠ RFC actual loss=00% vs Sokal fixed 1% (−0.01 term). Δη=0.000. Adjust input η (C20) accordingly.</v>
      </c>
      <c r="H23" s="34"/>
      <c r="I23" s="9"/>
      <c r="J23" s="11"/>
      <c r="K23" s="9"/>
    </row>
    <row r="24" customFormat="false" ht="15" hidden="false" customHeight="false" outlineLevel="0" collapsed="false">
      <c r="A24" s="7"/>
      <c r="B24" s="9" t="s">
        <v>26</v>
      </c>
      <c r="C24" s="32" t="n">
        <v>50</v>
      </c>
      <c r="D24" s="33" t="s">
        <v>22</v>
      </c>
      <c r="E24" s="9"/>
      <c r="F24" s="9"/>
      <c r="G24" s="10"/>
      <c r="H24" s="9"/>
      <c r="I24" s="9"/>
      <c r="J24" s="11"/>
      <c r="K24" s="9"/>
    </row>
    <row r="25" customFormat="false" ht="15" hidden="false" customHeight="false" outlineLevel="0" collapsed="false">
      <c r="A25" s="7"/>
      <c r="B25" s="9" t="s">
        <v>27</v>
      </c>
      <c r="C25" s="32" t="n">
        <v>50</v>
      </c>
      <c r="D25" s="33" t="s">
        <v>22</v>
      </c>
      <c r="E25" s="9"/>
      <c r="F25" s="9"/>
      <c r="G25" s="10"/>
      <c r="H25" s="9"/>
      <c r="I25" s="9"/>
      <c r="J25" s="11"/>
      <c r="K25" s="9"/>
    </row>
    <row r="26" customFormat="false" ht="40.65" hidden="false" customHeight="false" outlineLevel="0" collapsed="false">
      <c r="A26" s="7"/>
      <c r="B26" s="8" t="s">
        <v>28</v>
      </c>
      <c r="C26" s="32" t="n">
        <v>0.5</v>
      </c>
      <c r="D26" s="33" t="s">
        <v>18</v>
      </c>
      <c r="E26" s="9" t="str">
        <f aca="false">IF(C26&lt;&gt;0.5,"🚨 FATAL: D≠0.5 — ALL SOKAL EQUATIONS INVALID. Reset to 0.5.","✅ D = 0.5 — correct (required for Sokal equations)")</f>
        <v>✅ D = 0.5 — correct (required for Sokal equations)</v>
      </c>
      <c r="F26" s="9"/>
      <c r="G26" s="10"/>
      <c r="H26" s="9"/>
      <c r="I26" s="9"/>
      <c r="J26" s="11"/>
      <c r="K26" s="9"/>
    </row>
    <row r="27" customFormat="false" ht="15" hidden="false" customHeight="false" outlineLevel="0" collapsed="false">
      <c r="A27" s="7"/>
      <c r="B27" s="9" t="s">
        <v>29</v>
      </c>
      <c r="C27" s="32" t="n">
        <f aca="false">IFERROR(IF(B9="-- Select MOSFET --",100,VLOOKUP(B9,'MOSFET Reference Table'!$A:$F,6,0)),100)</f>
        <v>60</v>
      </c>
      <c r="D27" s="33" t="s">
        <v>30</v>
      </c>
      <c r="E27" s="9"/>
      <c r="F27" s="9"/>
      <c r="G27" s="10"/>
      <c r="H27" s="9"/>
      <c r="I27" s="9"/>
      <c r="J27" s="11"/>
      <c r="K27" s="9"/>
    </row>
    <row r="28" customFormat="false" ht="15" hidden="false" customHeight="false" outlineLevel="0" collapsed="false">
      <c r="A28" s="7"/>
      <c r="B28" s="9" t="s">
        <v>31</v>
      </c>
      <c r="C28" s="32" t="n">
        <v>10</v>
      </c>
      <c r="D28" s="33" t="s">
        <v>22</v>
      </c>
      <c r="E28" s="9"/>
      <c r="F28" s="9"/>
      <c r="G28" s="10"/>
      <c r="H28" s="9"/>
      <c r="I28" s="9"/>
      <c r="J28" s="11"/>
      <c r="K28" s="9"/>
    </row>
    <row r="29" customFormat="false" ht="15" hidden="false" customHeight="false" outlineLevel="0" collapsed="false">
      <c r="A29" s="7"/>
      <c r="B29" s="9" t="s">
        <v>32</v>
      </c>
      <c r="C29" s="32" t="n">
        <v>25</v>
      </c>
      <c r="D29" s="33" t="s">
        <v>33</v>
      </c>
      <c r="E29" s="9"/>
      <c r="F29" s="9"/>
      <c r="G29" s="10"/>
      <c r="H29" s="9"/>
      <c r="I29" s="9"/>
      <c r="J29" s="11"/>
      <c r="K29" s="9"/>
    </row>
    <row r="30" customFormat="false" ht="15" hidden="false" customHeight="false" outlineLevel="0" collapsed="false">
      <c r="A30" s="7"/>
      <c r="B30" s="9" t="s">
        <v>34</v>
      </c>
      <c r="C30" s="32" t="n">
        <v>0.01</v>
      </c>
      <c r="D30" s="33" t="s">
        <v>22</v>
      </c>
      <c r="E30" s="9"/>
      <c r="F30" s="9"/>
      <c r="G30" s="10"/>
      <c r="H30" s="9"/>
      <c r="I30" s="9"/>
      <c r="J30" s="11"/>
      <c r="K30" s="9"/>
    </row>
    <row r="31" customFormat="false" ht="15" hidden="false" customHeight="false" outlineLevel="0" collapsed="false">
      <c r="A31" s="7"/>
      <c r="B31" s="9" t="s">
        <v>35</v>
      </c>
      <c r="C31" s="32" t="n">
        <v>0.01</v>
      </c>
      <c r="D31" s="33" t="s">
        <v>22</v>
      </c>
      <c r="E31" s="9"/>
      <c r="F31" s="9"/>
      <c r="G31" s="10"/>
      <c r="H31" s="9"/>
      <c r="I31" s="9"/>
      <c r="J31" s="11"/>
      <c r="K31" s="9"/>
    </row>
    <row r="32" customFormat="false" ht="15" hidden="false" customHeight="false" outlineLevel="0" collapsed="false">
      <c r="A32" s="7"/>
      <c r="B32" s="9" t="s">
        <v>36</v>
      </c>
      <c r="C32" s="32" t="n">
        <f aca="false">IFERROR(VLOOKUP(B9,'MOSFET Reference Table'!$A:$G,7,0),0)</f>
        <v>12</v>
      </c>
      <c r="D32" s="33" t="s">
        <v>30</v>
      </c>
      <c r="E32" s="9"/>
      <c r="F32" s="9"/>
      <c r="G32" s="10"/>
      <c r="H32" s="9" t="str">
        <f aca="false">IF(AND(B9&lt;&gt;"-- Select MOSFET --",IFERROR(VLOOKUP(B9,'MOSFET Reference Table'!$A:$A,1,0),"not found")="not found"),"⚠ MOSFET not in reference table — Coss returned as 0 pF. C1_ext (C33) will be over-estimated. Add device to the MOSFET Reference Table.","")</f>
        <v/>
      </c>
      <c r="I32" s="9"/>
      <c r="J32" s="11"/>
      <c r="K32" s="9"/>
    </row>
    <row r="33" customFormat="false" ht="53.7" hidden="false" customHeight="false" outlineLevel="0" collapsed="false">
      <c r="A33" s="7"/>
      <c r="B33" s="9" t="s">
        <v>37</v>
      </c>
      <c r="C33" s="35" t="n">
        <f aca="false">IF(C49-C32*$C$36&lt;0,"🚨 OVER-CAPACITANCE: Coss_eff ("&amp;TEXT(C32*$C$36,"0.0")&amp;" pF) &gt; C1_req ("&amp;TEXT(C49,"0.0")&amp;" pF). MOSFET Coss is too large for Class-E ZVS at this frequency/power. Select a device with lower Coss, reduce f, or increase Pout/Vcc to raise R and reduce C1.",MAX(C49-C32*$C$36,0))</f>
        <v>151.062361810011</v>
      </c>
      <c r="D33" s="33" t="s">
        <v>30</v>
      </c>
      <c r="E33" s="9"/>
      <c r="F33" s="9"/>
      <c r="G33" s="10"/>
      <c r="H33" s="9"/>
      <c r="I33" s="9"/>
      <c r="J33" s="11"/>
      <c r="K33" s="9"/>
    </row>
    <row r="34" customFormat="false" ht="15" hidden="false" customHeight="false" outlineLevel="0" collapsed="false">
      <c r="A34" s="7"/>
      <c r="B34" s="9" t="s">
        <v>38</v>
      </c>
      <c r="C34" s="32" t="n">
        <v>0</v>
      </c>
      <c r="D34" s="33" t="s">
        <v>39</v>
      </c>
      <c r="E34" s="9"/>
      <c r="F34" s="9"/>
      <c r="G34" s="10"/>
      <c r="H34" s="9"/>
      <c r="I34" s="9"/>
      <c r="J34" s="11"/>
      <c r="K34" s="9"/>
    </row>
    <row r="35" customFormat="false" ht="15" hidden="false" customHeight="false" outlineLevel="0" collapsed="false">
      <c r="A35" s="7"/>
      <c r="B35" s="9" t="s">
        <v>40</v>
      </c>
      <c r="C35" s="32" t="n">
        <v>0</v>
      </c>
      <c r="D35" s="33" t="s">
        <v>12</v>
      </c>
      <c r="E35" s="9"/>
      <c r="F35" s="9"/>
      <c r="G35" s="10"/>
      <c r="H35" s="9"/>
      <c r="I35" s="9"/>
      <c r="J35" s="11"/>
      <c r="K35" s="9"/>
    </row>
    <row r="36" customFormat="false" ht="145.1" hidden="false" customHeight="false" outlineLevel="0" collapsed="false">
      <c r="A36" s="7"/>
      <c r="B36" s="9" t="s">
        <v>41</v>
      </c>
      <c r="C36" s="32" t="n">
        <f aca="false">IFERROR(VLOOKUP(B9,'MOSFET Reference Table'!$A:$O,15,0),0.35)</f>
        <v>0.4</v>
      </c>
      <c r="D36" s="33" t="s">
        <v>18</v>
      </c>
      <c r="E36" s="9"/>
      <c r="F36" s="9" t="s">
        <v>42</v>
      </c>
      <c r="G36" s="9" t="s">
        <v>43</v>
      </c>
      <c r="H36" s="9" t="n">
        <f aca="false">IFERROR(IF(VLOOKUP(B9,'MOSFET Reference Table'!$A:$P,16,0)="Si-planar",0.4,IF(VLOOKUP(B9,'MOSFET Reference Table'!$A:$P,16,0)="Si-DMOS",0.35,IF(VLOOKUP(B9,'MOSFET Reference Table'!$A:$P,16,0)="LDMOS",0.08,IF(VLOOKUP(B9,'MOSFET Reference Table'!$A:$P,16,0)="GaN",0.05,0.25)))),0.25)</f>
        <v>0.4</v>
      </c>
      <c r="I36" s="34"/>
      <c r="J36" s="11" t="s">
        <v>44</v>
      </c>
      <c r="K36" s="9"/>
    </row>
    <row r="37" customFormat="false" ht="27.6" hidden="false" customHeight="false" outlineLevel="0" collapsed="false">
      <c r="A37" s="7"/>
      <c r="B37" s="9" t="s">
        <v>45</v>
      </c>
      <c r="C37" s="32" t="n">
        <v>3</v>
      </c>
      <c r="D37" s="33" t="s">
        <v>18</v>
      </c>
      <c r="E37" s="9"/>
      <c r="F37" s="9" t="s">
        <v>46</v>
      </c>
      <c r="G37" s="10"/>
      <c r="H37" s="9"/>
      <c r="I37" s="9"/>
      <c r="J37" s="11"/>
      <c r="K37" s="9"/>
    </row>
    <row r="38" customFormat="false" ht="15" hidden="false" customHeight="false" outlineLevel="0" collapsed="false">
      <c r="A38" s="7"/>
      <c r="B38" s="9"/>
      <c r="C38" s="32"/>
      <c r="D38" s="10"/>
      <c r="E38" s="9"/>
      <c r="F38" s="9"/>
      <c r="G38" s="10"/>
      <c r="H38" s="9"/>
      <c r="I38" s="9"/>
      <c r="J38" s="11"/>
      <c r="K38" s="9"/>
    </row>
    <row r="39" customFormat="false" ht="15.65" hidden="false" customHeight="false" outlineLevel="0" collapsed="false">
      <c r="A39" s="7"/>
      <c r="B39" s="36" t="s">
        <v>47</v>
      </c>
      <c r="C39" s="36"/>
      <c r="D39" s="7"/>
      <c r="E39" s="9"/>
      <c r="F39" s="37" t="str">
        <f aca="false">IF(NOT(ISNUMBER(C42)),"—",IF(0.576801*(1.0000086-0.414395/C19-0.577501/C19^2+0.205967/C19^3)*(C16-C35-C20)^2&lt;4*(C22+C30+1.365*IFERROR(VLOOKUP(B9,'MOSFET Reference Table'!$A:$E,5,0)*1,0)+0.2116*C31)*C17,"🚨 INFEASIBLE: Device losses exceed theoretical maximum for this operating point. "&amp;"Reduce Pout, increase Vcc, or select a lower Rds(on) device. Max Pout ≈ "&amp;TEXT(0.576801*(1.0000086-0.414395/C19-0.577501/C19^2+0.205967/C19^3)*(C16-C35-C20)^2/(4*(C22+C30+1.365*IFERROR(VLOOKUP(B9,'MOSFET Reference Table'!$A:$E,5,0)*1,0)+0.2116*C31)),"0.000")&amp;" W","✅ Operating point is feasible — iterate."))</f>
        <v>✅ Operating point is feasible — iterate.</v>
      </c>
      <c r="G39" s="38"/>
      <c r="H39" s="9"/>
      <c r="I39" s="9"/>
      <c r="J39" s="11"/>
      <c r="K39" s="9"/>
    </row>
    <row r="40" customFormat="false" ht="15" hidden="false" customHeight="false" outlineLevel="0" collapsed="false">
      <c r="A40" s="7"/>
      <c r="B40" s="30" t="s">
        <v>8</v>
      </c>
      <c r="C40" s="30" t="s">
        <v>9</v>
      </c>
      <c r="D40" s="31" t="s">
        <v>10</v>
      </c>
      <c r="E40" s="30"/>
      <c r="F40" s="31" t="s">
        <v>48</v>
      </c>
      <c r="G40" s="31"/>
      <c r="H40" s="30"/>
      <c r="I40" s="30"/>
      <c r="J40" s="11"/>
      <c r="K40" s="9"/>
    </row>
    <row r="41" customFormat="false" ht="15" hidden="false" customHeight="false" outlineLevel="0" collapsed="false">
      <c r="A41" s="7"/>
      <c r="B41" s="9" t="s">
        <v>49</v>
      </c>
      <c r="C41" s="19" t="n">
        <f aca="false">2*PI()*C18*1000000</f>
        <v>43982297.1502571</v>
      </c>
      <c r="D41" s="33" t="s">
        <v>50</v>
      </c>
      <c r="E41" s="9"/>
      <c r="F41" s="9" t="s">
        <v>51</v>
      </c>
      <c r="G41" s="10"/>
      <c r="H41" s="9"/>
      <c r="I41" s="9"/>
      <c r="J41" s="11"/>
      <c r="K41" s="9"/>
    </row>
    <row r="42" customFormat="false" ht="66.75" hidden="false" customHeight="false" outlineLevel="0" collapsed="false">
      <c r="A42" s="7"/>
      <c r="B42" s="9" t="s">
        <v>52</v>
      </c>
      <c r="C42" s="19" t="n">
        <f aca="false">IF(C19&lt;=1.7879,"⚠ QL≤min (1.7879) — C2→∞, Class-E boundary",(C44^2/C17)*0.576801*(1.0000086-0.414395/C19-0.577501/C19^2+0.205967/C19^3))</f>
        <v>32.289222500631</v>
      </c>
      <c r="D42" s="33" t="s">
        <v>22</v>
      </c>
      <c r="E42" s="9"/>
      <c r="F42" s="9" t="s">
        <v>53</v>
      </c>
      <c r="G42" s="10"/>
      <c r="H42" s="9"/>
      <c r="I42" s="9"/>
      <c r="J42" s="11"/>
      <c r="K42" s="9"/>
    </row>
    <row r="43" customFormat="false" ht="92.9" hidden="false" customHeight="false" outlineLevel="0" collapsed="false">
      <c r="A43" s="7"/>
      <c r="B43" s="9" t="s">
        <v>54</v>
      </c>
      <c r="C43" s="19" t="n">
        <f aca="false">C17/(C44*IF(ISNUMBER(C88),C88,C21))</f>
        <v>0.0996557406381223</v>
      </c>
      <c r="D43" s="33" t="s">
        <v>55</v>
      </c>
      <c r="E43" s="9"/>
      <c r="F43" s="9" t="s">
        <v>56</v>
      </c>
      <c r="G43" s="10"/>
      <c r="H43" s="9"/>
      <c r="I43" s="9"/>
      <c r="J43" s="11"/>
      <c r="K43" s="9"/>
    </row>
    <row r="44" customFormat="false" ht="27.6" hidden="false" customHeight="false" outlineLevel="0" collapsed="false">
      <c r="A44" s="7"/>
      <c r="B44" s="9" t="s">
        <v>57</v>
      </c>
      <c r="C44" s="19" t="n">
        <f aca="false">C16-C35-C20</f>
        <v>5</v>
      </c>
      <c r="D44" s="33" t="s">
        <v>12</v>
      </c>
      <c r="E44" s="9"/>
      <c r="F44" s="9" t="s">
        <v>58</v>
      </c>
      <c r="G44" s="10"/>
      <c r="H44" s="9"/>
      <c r="I44" s="9"/>
      <c r="J44" s="11"/>
      <c r="K44" s="9"/>
    </row>
    <row r="45" customFormat="false" ht="15" hidden="false" customHeight="false" outlineLevel="0" collapsed="false">
      <c r="A45" s="7"/>
      <c r="B45" s="8"/>
      <c r="C45" s="8"/>
      <c r="D45" s="7"/>
      <c r="E45" s="9"/>
      <c r="F45" s="10"/>
      <c r="G45" s="10"/>
      <c r="H45" s="9"/>
      <c r="I45" s="9"/>
      <c r="J45" s="11"/>
      <c r="K45" s="9"/>
    </row>
    <row r="46" customFormat="false" ht="15.65" hidden="false" customHeight="false" outlineLevel="0" collapsed="false">
      <c r="A46" s="7"/>
      <c r="B46" s="36" t="s">
        <v>59</v>
      </c>
      <c r="C46" s="8"/>
      <c r="D46" s="7"/>
      <c r="E46" s="9"/>
      <c r="F46" s="10"/>
      <c r="G46" s="10"/>
      <c r="H46" s="9"/>
      <c r="I46" s="9"/>
      <c r="J46" s="11"/>
      <c r="K46" s="9"/>
    </row>
    <row r="47" customFormat="false" ht="15" hidden="false" customHeight="false" outlineLevel="0" collapsed="false">
      <c r="A47" s="7"/>
      <c r="B47" s="30" t="s">
        <v>8</v>
      </c>
      <c r="C47" s="30" t="s">
        <v>9</v>
      </c>
      <c r="D47" s="31" t="s">
        <v>10</v>
      </c>
      <c r="E47" s="30" t="s">
        <v>60</v>
      </c>
      <c r="F47" s="31" t="s">
        <v>48</v>
      </c>
      <c r="G47" s="39"/>
      <c r="H47" s="30"/>
      <c r="I47" s="30"/>
      <c r="J47" s="11"/>
      <c r="K47" s="9"/>
    </row>
    <row r="48" customFormat="false" ht="158.2" hidden="false" customHeight="false" outlineLevel="0" collapsed="false">
      <c r="A48" s="7"/>
      <c r="B48" s="9" t="s">
        <v>61</v>
      </c>
      <c r="C48" s="19" t="n">
        <f aca="false">IFERROR(IF(C19&lt;=1.7879,"⚠ QL≤min (1.7879) — C2→∞, Class-E boundary",IF(C18&lt;=0,"⚠ Frequency must be &gt; 0 MHz",IF(NOT(ISNUMBER(C42)),0,(0.99866+0.91424/C19-1.03175/C19^2)/(5.4466*C41*C42)+0.6/(C41^2*C54)))),0)</f>
        <v>1.55862361810011E-010</v>
      </c>
      <c r="D48" s="33" t="s">
        <v>62</v>
      </c>
      <c r="E48" s="9"/>
      <c r="F48" s="9" t="s">
        <v>63</v>
      </c>
      <c r="G48" s="9" t="str">
        <f aca="false">IF(ISNUMBER(C19),IF(C19&gt;=1.7879,"ℹ C1 polynomial accuracy: ±0.18% vs Sokal Table I across all valid QL (1.7879–∞). RFC correction (+0.6/(ω²·L_RFC)) adds ~"&amp;TEXT(0.6/(C41^2*C54)/C48*100,"0.1")&amp;"% to C1_total. Total C1 error &lt; ±0.5%."," "),"—")</f>
        <v>ℹ C1 polynomial accuracy: ±0.18% vs Sokal Table I across all valid QL (1.7879–∞). RFC correction (+0.6/(ω²·L_RFC)) adds ~54% to C1_total. Total C1 error &lt; ±0.5%.</v>
      </c>
      <c r="H48" s="9"/>
      <c r="I48" s="9"/>
      <c r="J48" s="11"/>
      <c r="K48" s="9"/>
    </row>
    <row r="49" customFormat="false" ht="15" hidden="false" customHeight="false" outlineLevel="0" collapsed="false">
      <c r="A49" s="7"/>
      <c r="B49" s="9" t="s">
        <v>64</v>
      </c>
      <c r="C49" s="19" t="n">
        <f aca="false">C48*1000000000000</f>
        <v>155.862361810011</v>
      </c>
      <c r="D49" s="33" t="s">
        <v>30</v>
      </c>
      <c r="E49" s="40" t="str">
        <f aca="false">IFERROR(IF(ISNUMBER(C49),TEXT(10^INT(LOG10(ABS(C49)+1E-030))*CHOOSE(MATCH(C49/10^INT(LOG10(ABS(C49)+1E-030)),{0,1.0488,1.1489,1.249,1.3964,1.5492,1.6971,1.8974,2.0976,2.2978,2.5456,2.846,3.1464,3.4467,3.747,4.0951,4.4956,4.8959,5.3442,5.8924,6.4931,7.1414,7.8422,8.6383,9.5394},1),1,1.1,1.2,1.3,1.5,1.6,1.8,2,2.2,2.4,2.7,3,3.3,3.6,3.9,4.3,4.7,5.1,5.6,6.2,6.8,7.5,8.2,9.1,10),"0.##")&amp;" "&amp;D49,C49),"—")</f>
        <v>160 pF</v>
      </c>
      <c r="F49" s="9" t="s">
        <v>65</v>
      </c>
      <c r="G49" s="38"/>
      <c r="H49" s="9"/>
      <c r="I49" s="9"/>
      <c r="J49" s="11"/>
      <c r="K49" s="9"/>
    </row>
    <row r="50" customFormat="false" ht="27.6" hidden="false" customHeight="false" outlineLevel="0" collapsed="false">
      <c r="A50" s="7"/>
      <c r="B50" s="9" t="s">
        <v>66</v>
      </c>
      <c r="C50" s="19" t="n">
        <f aca="false">IFERROR(IF(C19&lt;=1.7879,"⚠ QL≤min (1.7879) — C2→∞, Class-E boundary",IF(C18&lt;=0,"⚠ Frequency must be &gt; 0 MHz",C19*C42/C41)),0)</f>
        <v>3.67070669254962E-006</v>
      </c>
      <c r="D50" s="33" t="s">
        <v>67</v>
      </c>
      <c r="E50" s="40"/>
      <c r="F50" s="9" t="s">
        <v>68</v>
      </c>
      <c r="G50" s="10"/>
      <c r="H50" s="9"/>
      <c r="I50" s="9"/>
      <c r="J50" s="11"/>
      <c r="K50" s="9"/>
    </row>
    <row r="51" customFormat="false" ht="15" hidden="false" customHeight="false" outlineLevel="0" collapsed="false">
      <c r="A51" s="7"/>
      <c r="B51" s="9" t="s">
        <v>69</v>
      </c>
      <c r="C51" s="19" t="n">
        <f aca="false">C50*1000000</f>
        <v>3.67070669254962</v>
      </c>
      <c r="D51" s="33" t="s">
        <v>70</v>
      </c>
      <c r="E51" s="40" t="str">
        <f aca="false">IFERROR(IF(ISNUMBER(C51),TEXT(10^INT(LOG10(ABS(C51)+1E-030))*CHOOSE(MATCH(C51/10^INT(LOG10(ABS(C51)+1E-030)),{0,1.0488,1.1489,1.249,1.3964,1.5492,1.6971,1.8974,2.0976,2.2978,2.5456,2.846,3.1464,3.4467,3.747,4.0951,4.4956,4.8959,5.3442,5.8924,6.4931,7.1414,7.8422,8.6383,9.5394},1),1,1.1,1.2,1.3,1.5,1.6,1.8,2,2.2,2.4,2.7,3,3.3,3.6,3.9,4.3,4.7,5.1,5.6,6.2,6.8,7.5,8.2,9.1,10),"0.##")&amp;" "&amp;D51,C51),"—")</f>
        <v>3.6 µH</v>
      </c>
      <c r="F51" s="9" t="s">
        <v>71</v>
      </c>
      <c r="G51" s="10"/>
      <c r="H51" s="9"/>
      <c r="I51" s="9"/>
      <c r="J51" s="11"/>
      <c r="K51" s="9"/>
    </row>
    <row r="52" customFormat="false" ht="40.5" hidden="false" customHeight="false" outlineLevel="0" collapsed="false">
      <c r="A52" s="7"/>
      <c r="B52" s="9" t="s">
        <v>72</v>
      </c>
      <c r="C52" s="19" t="n">
        <f aca="false">IFERROR(IF(C19&lt;=1.7879,"⚠ QL≤min (1.7879) — C2→∞, Class-E boundary",IF(C18&lt;=0,"⚠ Frequency must be &gt; 0 MHz",IF((1/(C41*C42))*(1/(C19-0.104823))*(1.00121+1.01468/(C19-1.7879))-0.2/(C41^2*C54)&lt;0,"⚠ C2 = 0: RFC correction exceeds base C2 at this QL — omitting C2 destroys Class-E operation. Increase QL or reduce RFC inductance.",(1/(C41*C42))*(1/(C19-0.104823))*(1.00121+1.01468/(C19-1.7879))-0.2/(C41^2*C54)))),0)</f>
        <v>1.86642671516552E-010</v>
      </c>
      <c r="D52" s="33" t="s">
        <v>62</v>
      </c>
      <c r="E52" s="40" t="str">
        <f aca="false">IF(ISNUMBER(C19),IF(C19&lt;=1.7879,"⚠ QL≤min (1.7879) — C2→∞, Class-E boundary",IF(C19&lt;1.9,"⚠ QL very close to minimum (1.7879) — verify with LTspice before building","")),"")</f>
        <v/>
      </c>
      <c r="F52" s="9" t="str">
        <f aca="false">IF(C19&gt;20,"ℹ QL&gt;20: Sokal Eq.9 — C2·ω·R = (1/(QL−0.104823))×(1.00121+1.01468/(QL−1.7879)). Accuracy ±0.072% vs Table I across all valid QL. At very high QL, C2 is dominated by stray capacitance — fine-tune with LTspice or VNA.","Sokal AACD 2001 Eq.9 rational fit (accuracy ±0.072% vs Table I): C2·ω·R = [1/(QL−0.104823)]×[1.00121+1.01468/(QL−1.7879)]. RFC correction −0.2/(ω²·L_RFC) applied. Valid for all QL ≥ 1.7879.")</f>
        <v>Sokal AACD 2001 Eq.9 rational fit (accuracy ±0.072% vs Table I): C2·ω·R = [1/(QL−0.104823)]×[1.00121+1.01468/(QL−1.7879)]. RFC correction −0.2/(ω²·L_RFC) applied. Valid for all QL ≥ 1.7879.</v>
      </c>
      <c r="G52" s="10"/>
      <c r="H52" s="9"/>
      <c r="I52" s="9"/>
      <c r="J52" s="11"/>
      <c r="K52" s="9"/>
    </row>
    <row r="53" customFormat="false" ht="15" hidden="false" customHeight="false" outlineLevel="0" collapsed="false">
      <c r="A53" s="7"/>
      <c r="B53" s="9" t="s">
        <v>73</v>
      </c>
      <c r="C53" s="19" t="n">
        <f aca="false">IF(ISNUMBER(C52),C52*1000000000000,C52)</f>
        <v>186.642671516552</v>
      </c>
      <c r="D53" s="33" t="s">
        <v>30</v>
      </c>
      <c r="E53" s="40" t="str">
        <f aca="false">IFERROR(IF(ISNUMBER(C53),TEXT(10^INT(LOG10(ABS(C53)+1E-030))*CHOOSE(MATCH(C53/10^INT(LOG10(ABS(C53)+1E-030)),{0,1.0488,1.1489,1.249,1.3964,1.5492,1.6971,1.8974,2.0976,2.2978,2.5456,2.846,3.1464,3.4467,3.747,4.0951,4.4956,4.8959,5.3442,5.8924,6.4931,7.1414,7.8422,8.6383,9.5394},1),1,1.1,1.2,1.3,1.5,1.6,1.8,2,2.2,2.4,2.7,3,3.3,3.6,3.9,4.3,4.7,5.1,5.6,6.2,6.8,7.5,8.2,9.1,10),"0.##")&amp;" "&amp;D53,C53),"—")</f>
        <v>180 pF</v>
      </c>
      <c r="F53" s="9" t="s">
        <v>74</v>
      </c>
      <c r="G53" s="10"/>
      <c r="H53" s="9"/>
      <c r="I53" s="9"/>
      <c r="J53" s="11"/>
      <c r="K53" s="9"/>
    </row>
    <row r="54" customFormat="false" ht="105.95" hidden="false" customHeight="false" outlineLevel="0" collapsed="false">
      <c r="A54" s="7"/>
      <c r="B54" s="9" t="s">
        <v>75</v>
      </c>
      <c r="C54" s="19" t="n">
        <f aca="false">IF(AND(ISNUMBER(C42),C18&gt;0),50*C42/C41,"⚠ R invalid or f=0 — set QL ≥ 1.7879 and f &gt; 0 first")</f>
        <v>3.67070669254962E-005</v>
      </c>
      <c r="D54" s="33" t="s">
        <v>67</v>
      </c>
      <c r="E54" s="40"/>
      <c r="F54" s="9" t="s">
        <v>76</v>
      </c>
      <c r="G54" s="9" t="str">
        <f aca="false">IF(ISNUMBER(C42),IF(ABS(C55-50*C42/C41*1000000)&gt;0.01*50*C42/C41*1000000,"⚠ RFC OVERRIDE DETECTED: C55 ("&amp;TEXT(C55,"0.000")&amp;" µH) ≠ default 50·R/ω ("&amp;TEXT(50*C42/C41*1000000,"0.000")&amp;" µH). ⚠ IMPORTANT: C1 and C2 reference C54 (Henrys). To correctly override RFC: (1) Type your RFC value in µH into C55 AND (2) type that same value ÷ 1000000 (in Henrys) into C54, replacing its formula. If you only change C55, C1 and C2 do NOT update. Re-verify ZVS after any RFC change.","✅ RFC = default 50·R/ω — C1 and C2 corrections are self-consistent. ℹ To use a custom RFC: enter µH value in C55 AND enter the same value÷1e6 directly into C54 (replacing formula)."),"—")</f>
        <v>✅ RFC = default 50·R/ω — C1 and C2 corrections are self-consistent. ℹ To use a custom RFC: enter µH value in C55 AND enter the same value÷1e6 directly into C54 (replacing formula).</v>
      </c>
      <c r="H54" s="9" t="s">
        <v>77</v>
      </c>
      <c r="I54" s="34"/>
      <c r="J54" s="11"/>
      <c r="K54" s="9"/>
    </row>
    <row r="55" customFormat="false" ht="105.75" hidden="false" customHeight="false" outlineLevel="0" collapsed="false">
      <c r="A55" s="7"/>
      <c r="B55" s="9" t="s">
        <v>78</v>
      </c>
      <c r="C55" s="19" t="n">
        <f aca="false">IF(ISNUMBER(C54),C54*1000000,C54)</f>
        <v>36.7070669254962</v>
      </c>
      <c r="D55" s="33" t="s">
        <v>70</v>
      </c>
      <c r="E55" s="40" t="str">
        <f aca="false">IFERROR(IF(ISNUMBER(C55),TEXT(10^INT(LOG10(ABS(C55)+1E-030))*CHOOSE(MATCH(C55/10^INT(LOG10(ABS(C55)+1E-030)),{0,1.0488,1.1489,1.249,1.3964,1.5492,1.6971,1.8974,2.0976,2.2978,2.5456,2.846,3.1464,3.4467,3.747,4.0951,4.4956,4.8959,5.3442,5.8924,6.4931,7.1414,7.8422,8.6383,9.5394},1),1,1.1,1.2,1.3,1.5,1.6,1.8,2,2.2,2.4,2.7,3,3.3,3.6,3.9,4.3,4.7,5.1,5.6,6.2,6.8,7.5,8.2,9.1,10),"0.##")&amp;" "&amp;D55,C55),"—")</f>
        <v>36 µH</v>
      </c>
      <c r="F55" s="9" t="str">
        <f aca="false">"RFC winding Q: wind on core with unloaded Q &gt; 100 at "&amp;TEXT(C18,"0")&amp;" MHz (this is the coil's own winding Q, not the reactance-to-R ratio). ⚠ SRF CHECK: Verify RFC self-resonant frequency (SRF) &gt; 10× operating frequency, i.e. SRF &gt; "&amp;TEXT(10*C18,"0")&amp;" MHz for this design. At HF, a large RFC inductance may self-resonate at or below the operating frequency and act as a capacitor — measure SRF with a VNA before installation. Saturation check: ensure core does not saturate at I_dc = "&amp;TEXT(C43,"0.000")&amp;" A (C39). Sokal QEX 2001: choke reactance ≥ 30×R; RFC (C54) uses 50×R/ω for margin."</f>
        <v>RFC winding Q: wind on core with unloaded Q &gt; 100 at 7 MHz (this is the coil's own winding Q, not the reactance-to-R ratio). ⚠ SRF CHECK: Verify RFC self-resonant frequency (SRF) &gt; 10× operating frequency, i.e. SRF &gt; 70 MHz for this design. At HF, a large RFC inductance may self-resonate at or below the operating frequency and act as a capacitor — measure SRF with a VNA before installation. Saturation check: ensure core does not saturate at I_dc = 0.000 A (C39). Sokal QEX 2001: choke reactance ≥ 30×R; RFC (C54) uses 50×R/ω for margin.</v>
      </c>
      <c r="G55" s="10"/>
      <c r="H55" s="9" t="str">
        <f aca="false">IF(C18&gt;10,"⚠ At "&amp;TEXT(C18,"0")&amp;" MHz, RFC SRF requirement is &gt; "&amp;TEXT(10*C18,"0")&amp;" MHz — very difficult for wound inductors. Consider a bias tee or SMD choke.","RFC SRF must be &gt; "&amp;TEXT(10*C18,"0")&amp;" MHz (10× operating freq)")</f>
        <v>RFC SRF must be &gt; 70 MHz (10× operating freq)</v>
      </c>
      <c r="I55" s="9"/>
      <c r="J55" s="11"/>
      <c r="K55" s="9"/>
    </row>
    <row r="56" customFormat="false" ht="40.5" hidden="false" customHeight="false" outlineLevel="0" collapsed="false">
      <c r="A56" s="7"/>
      <c r="B56" s="9" t="s">
        <v>79</v>
      </c>
      <c r="C56" s="19" t="n">
        <f aca="false">IF(C19&lt;=1.7879,"⚠ QL≤min (1.7879) — C2→∞, Class-E boundary",IF(NOT(ISNUMBER(C52)),"⚠ C2 invalid",C50-1/(C52*C41^2)))</f>
        <v>9.01003439261812E-007</v>
      </c>
      <c r="D56" s="33" t="s">
        <v>67</v>
      </c>
      <c r="E56" s="40" t="str">
        <f aca="false">IF(ISNUMBER(C56),IF(C56&lt;0,"🚨 L_ser&lt;0: C2 too large or QL too low — L2-C2 branch is net capacitive. Increase QL or reduce C2 to restore Class-E operating condition.",IF(AND(ISNUMBER(C50),C56&lt;0.05*C50),"⚠ L_ser very small (&lt;5% of L2) — branch barely inductive. Poor ZVS likely without triggering zero-crossing alarm. Verify with LTspice before building.","✅ L_ser&gt;0 OK")),"")</f>
        <v>✅ L_ser&gt;0 OK</v>
      </c>
      <c r="F56" s="9" t="s">
        <v>80</v>
      </c>
      <c r="G56" s="10"/>
      <c r="H56" s="9"/>
      <c r="I56" s="9"/>
      <c r="J56" s="11"/>
      <c r="K56" s="9"/>
    </row>
    <row r="57" customFormat="false" ht="40.5" hidden="false" customHeight="false" outlineLevel="0" collapsed="false">
      <c r="A57" s="7"/>
      <c r="B57" s="9" t="s">
        <v>81</v>
      </c>
      <c r="C57" s="19" t="n">
        <f aca="false">IF(ISNUMBER(C56),C56*1000000,C56)</f>
        <v>0.901003439261812</v>
      </c>
      <c r="D57" s="33" t="s">
        <v>70</v>
      </c>
      <c r="E57" s="40"/>
      <c r="F57" s="9" t="s">
        <v>82</v>
      </c>
      <c r="G57" s="10"/>
      <c r="H57" s="9"/>
      <c r="I57" s="9"/>
      <c r="J57" s="11"/>
      <c r="K57" s="9"/>
    </row>
    <row r="58" customFormat="false" ht="53.7" hidden="false" customHeight="false" outlineLevel="0" collapsed="false">
      <c r="A58" s="7"/>
      <c r="B58" s="9" t="s">
        <v>83</v>
      </c>
      <c r="C58" s="19" t="n">
        <f aca="false">IF(C19&lt;=1.7879,"⚠ QL≤min (1.7879) — C2→∞, Class-E boundary",IF(NOT(ISNUMBER(C52)),"⚠ C2 invalid — check QL/frequency",C50))</f>
        <v>3.67070669254962E-006</v>
      </c>
      <c r="D58" s="33" t="s">
        <v>67</v>
      </c>
      <c r="E58" s="40"/>
      <c r="F58" s="9" t="s">
        <v>84</v>
      </c>
      <c r="G58" s="10"/>
      <c r="H58" s="9"/>
      <c r="I58" s="9"/>
      <c r="J58" s="11"/>
      <c r="K58" s="9"/>
    </row>
    <row r="59" customFormat="false" ht="27.6" hidden="false" customHeight="false" outlineLevel="0" collapsed="false">
      <c r="A59" s="7"/>
      <c r="B59" s="9" t="s">
        <v>85</v>
      </c>
      <c r="C59" s="19" t="n">
        <f aca="false">IF(ISNUMBER(C58),C58*1000000,C58)</f>
        <v>3.67070669254962</v>
      </c>
      <c r="D59" s="33" t="s">
        <v>70</v>
      </c>
      <c r="E59" s="40" t="str">
        <f aca="false">IFERROR(IF(ISNUMBER(C59),TEXT(10^INT(LOG10(ABS(C59)+1E-030))*CHOOSE(MATCH(C59/10^INT(LOG10(ABS(C59)+1E-030)),{0,1.0488,1.1489,1.249,1.3964,1.5492,1.6971,1.8974,2.0976,2.2978,2.5456,2.846,3.1464,3.4467,3.747,4.0951,4.4956,4.8959,5.3442,5.8924,6.4931,7.1414,7.8422,8.6383,9.5394},1),1,1.1,1.2,1.3,1.5,1.6,1.8,2,2.2,2.4,2.7,3,3.3,3.6,3.9,4.3,4.7,5.1,5.6,6.2,6.8,7.5,8.2,9.1,10),"0.##")&amp;" "&amp;D59,C59),"—")</f>
        <v>3.6 µH</v>
      </c>
      <c r="F59" s="9" t="s">
        <v>86</v>
      </c>
      <c r="G59" s="10"/>
      <c r="H59" s="9"/>
      <c r="I59" s="9"/>
      <c r="J59" s="11"/>
      <c r="K59" s="9"/>
    </row>
    <row r="60" customFormat="false" ht="15" hidden="false" customHeight="false" outlineLevel="0" collapsed="false">
      <c r="A60" s="7"/>
      <c r="B60" s="8"/>
      <c r="C60" s="8"/>
      <c r="D60" s="7"/>
      <c r="E60" s="9"/>
      <c r="F60" s="10"/>
      <c r="G60" s="10"/>
      <c r="H60" s="9"/>
      <c r="I60" s="9"/>
      <c r="J60" s="11"/>
      <c r="K60" s="9"/>
    </row>
    <row r="61" customFormat="false" ht="15.65" hidden="false" customHeight="false" outlineLevel="0" collapsed="false">
      <c r="A61" s="7"/>
      <c r="B61" s="36" t="s">
        <v>87</v>
      </c>
      <c r="C61" s="8"/>
      <c r="D61" s="7"/>
      <c r="E61" s="9"/>
      <c r="F61" s="10"/>
      <c r="G61" s="10"/>
      <c r="H61" s="9"/>
      <c r="I61" s="9"/>
      <c r="J61" s="11"/>
      <c r="K61" s="9"/>
    </row>
    <row r="62" customFormat="false" ht="15" hidden="false" customHeight="false" outlineLevel="0" collapsed="false">
      <c r="A62" s="7"/>
      <c r="B62" s="30" t="s">
        <v>8</v>
      </c>
      <c r="C62" s="30" t="s">
        <v>9</v>
      </c>
      <c r="D62" s="31" t="s">
        <v>10</v>
      </c>
      <c r="E62" s="30" t="s">
        <v>60</v>
      </c>
      <c r="F62" s="31" t="s">
        <v>48</v>
      </c>
      <c r="G62" s="31"/>
      <c r="H62" s="30"/>
      <c r="I62" s="30"/>
      <c r="J62" s="11"/>
      <c r="K62" s="9"/>
    </row>
    <row r="63" customFormat="false" ht="15" hidden="false" customHeight="false" outlineLevel="0" collapsed="false">
      <c r="A63" s="7"/>
      <c r="B63" s="9" t="s">
        <v>88</v>
      </c>
      <c r="C63" s="19" t="n">
        <f aca="false">C42</f>
        <v>32.289222500631</v>
      </c>
      <c r="D63" s="33" t="s">
        <v>22</v>
      </c>
      <c r="E63" s="9"/>
      <c r="F63" s="9" t="s">
        <v>89</v>
      </c>
      <c r="G63" s="10"/>
      <c r="H63" s="9"/>
      <c r="I63" s="9"/>
      <c r="J63" s="11"/>
      <c r="K63" s="9"/>
    </row>
    <row r="64" customFormat="false" ht="15" hidden="false" customHeight="false" outlineLevel="0" collapsed="false">
      <c r="A64" s="7"/>
      <c r="B64" s="9" t="s">
        <v>90</v>
      </c>
      <c r="C64" s="19" t="n">
        <f aca="false">C25</f>
        <v>50</v>
      </c>
      <c r="D64" s="33" t="s">
        <v>22</v>
      </c>
      <c r="E64" s="9"/>
      <c r="F64" s="9" t="s">
        <v>91</v>
      </c>
      <c r="G64" s="10"/>
      <c r="H64" s="9"/>
      <c r="I64" s="9"/>
      <c r="J64" s="11"/>
      <c r="K64" s="9"/>
    </row>
    <row r="65" customFormat="false" ht="40.5" hidden="false" customHeight="false" outlineLevel="0" collapsed="false">
      <c r="A65" s="7"/>
      <c r="B65" s="9" t="s">
        <v>92</v>
      </c>
      <c r="C65" s="19" t="n">
        <f aca="false">IF(ABS(C63-C64)&lt;0.01*MAX(C63,C64),0,SQRT(MAX(C63,C64)/MIN(C63,C64)-1))</f>
        <v>0.740610763852502</v>
      </c>
      <c r="D65" s="33" t="s">
        <v>18</v>
      </c>
      <c r="E65" s="9"/>
      <c r="F65" s="9" t="str">
        <f aca="false">IF(ABS(C63-C64)&lt;0.01*MAX(C63,C64),"ℹ R_drain ≈ Z_load — no L-network required. Connect drain circuit directly to load through a separate low-pass filter.",IF(C65&lt;2,"⚠ Low Q_match="&amp;TEXT(C65,"0.00")&amp;": L-network provides minimal harmonic filtering. Add a 5-element LPF for legal HF TX (−50 dBc required per IARU recommendation (−43 dBc per FCC §97.307)).","⚠ L-network gives impedance transform only — no harmonic filtering. Add low-pass filter between amplifier and antenna for regulatory compliance."))</f>
        <v>⚠ Low Q_match=0.74: L-network provides minimal harmonic filtering. Add a 5-element LPF for legal HF TX (−50 dBc required per IARU recommendation (−43 dBc per FCC §97.307)).</v>
      </c>
      <c r="G65" s="10"/>
      <c r="H65" s="9"/>
      <c r="I65" s="9"/>
      <c r="J65" s="11"/>
      <c r="K65" s="9"/>
    </row>
    <row r="66" customFormat="false" ht="66.75" hidden="false" customHeight="false" outlineLevel="0" collapsed="false">
      <c r="A66" s="7"/>
      <c r="B66" s="9" t="s">
        <v>93</v>
      </c>
      <c r="C66" s="19" t="n">
        <f aca="false">IF(C41&lt;=0,0,C65*MIN(C63,C64)/C41)</f>
        <v>5.43712977489534E-007</v>
      </c>
      <c r="D66" s="33" t="s">
        <v>67</v>
      </c>
      <c r="E66" s="9"/>
      <c r="F66" s="9" t="str">
        <f aca="false">IF(C70="Step-UP","Step-UP (R_drain &lt; Z_load): LOW-PASS topology — Series L_match from DRAIN node toward load (LOW-Z), then Shunt C_match at LOAD (HIGH-Z, 50Ω) node to GND. The shunt element is on the LOAD (HIGH-impedance) side. L_match=Q×R_min/ω; C_match=Q/(ω×R_max) where R_max=Z_load. ⚠ C_match is at the LOAD end (NOT the drain end).","Step-DOWN (R_drain &gt; Z_load): Shunt C_match from DRAIN node (high-Z) to GND first; then series L_match from drain toward load. L_match=Q×R_min/ω; C_match=Q/(ω×R_max). ⚠ C_match at DRAIN end (high-Z side).")</f>
        <v>Step-UP (R_drain &lt; Z_load): LOW-PASS topology — Series L_match from DRAIN node toward load (LOW-Z), then Shunt C_match at LOAD (HIGH-Z, 50Ω) node to GND. The shunt element is on the LOAD (HIGH-impedance) side. L_match=Q×R_min/ω; C_match=Q/(ω×R_max) where R_max=Z_load. ⚠ C_match is at the LOAD end (NOT the drain end).</v>
      </c>
      <c r="G66" s="10"/>
      <c r="H66" s="9"/>
      <c r="I66" s="9"/>
      <c r="J66" s="11"/>
      <c r="K66" s="9"/>
    </row>
    <row r="67" customFormat="false" ht="15" hidden="false" customHeight="false" outlineLevel="0" collapsed="false">
      <c r="A67" s="7"/>
      <c r="B67" s="9" t="s">
        <v>94</v>
      </c>
      <c r="C67" s="19" t="n">
        <f aca="false">C66*1000000</f>
        <v>0.543712977489534</v>
      </c>
      <c r="D67" s="33" t="s">
        <v>70</v>
      </c>
      <c r="E67" s="9" t="str">
        <f aca="false">IFERROR(IF(ISNUMBER(C67),TEXT(10^INT(LOG10(ABS(C67)+1E-030))*CHOOSE(MATCH(C67/10^INT(LOG10(ABS(C67)+1E-030)),{0,1.0488,1.1489,1.249,1.3964,1.5492,1.6971,1.8974,2.0976,2.2978,2.5456,2.846,3.1464,3.4467,3.747,4.0951,4.4956,4.8959,5.3442,5.8924,6.4931,7.1414,7.8422,8.6383,9.5394},1),1,1.1,1.2,1.3,1.5,1.6,1.8,2,2.2,2.4,2.7,3,3.3,3.6,3.9,4.3,4.7,5.1,5.6,6.2,6.8,7.5,8.2,9.1,10),"0.##")&amp;" "&amp;D67,C67),"—")</f>
        <v>0.56 µH</v>
      </c>
      <c r="F67" s="9"/>
      <c r="G67" s="10"/>
      <c r="H67" s="9"/>
      <c r="I67" s="9"/>
      <c r="J67" s="11"/>
      <c r="K67" s="9"/>
    </row>
    <row r="68" customFormat="false" ht="53.7" hidden="false" customHeight="false" outlineLevel="0" collapsed="false">
      <c r="A68" s="7"/>
      <c r="B68" s="9" t="s">
        <v>95</v>
      </c>
      <c r="C68" s="19" t="n">
        <f aca="false">IF(C41&lt;=0,0,C65/(C41*MAX(C63,C64)))</f>
        <v>3.36776754211972E-010</v>
      </c>
      <c r="D68" s="33" t="s">
        <v>62</v>
      </c>
      <c r="E68" s="9"/>
      <c r="F68" s="9" t="str">
        <f aca="false">IF(C70="Step-UP","Step-UP: C_match is the SHUNT element at the LOAD (Z_load, 50Ω, HIGH-Z) node — placed AFTER L_match (at the load/antenna end). LOW-PASS topology: Series L from drain → Shunt C at load end. C_match=Q/(ω×Z_load). ⚠ C_match is at the LOAD end, not the drain end.","Step-DOWN: C_match is the SHUNT element at the DRAIN (high-Z) node — placed BEFORE L_match. C_match=Q/(ω×R_drain).")</f>
        <v>Step-UP: C_match is the SHUNT element at the LOAD (Z_load, 50Ω, HIGH-Z) node — placed AFTER L_match (at the load/antenna end). LOW-PASS topology: Series L from drain → Shunt C at load end. C_match=Q/(ω×Z_load). ⚠ C_match is at the LOAD end, not the drain end.</v>
      </c>
      <c r="G68" s="10"/>
      <c r="H68" s="9"/>
      <c r="I68" s="9"/>
      <c r="J68" s="11"/>
      <c r="K68" s="9"/>
    </row>
    <row r="69" customFormat="false" ht="15" hidden="false" customHeight="false" outlineLevel="0" collapsed="false">
      <c r="A69" s="7"/>
      <c r="B69" s="9" t="s">
        <v>96</v>
      </c>
      <c r="C69" s="19" t="n">
        <f aca="false">C68*1000000000000</f>
        <v>336.776754211972</v>
      </c>
      <c r="D69" s="33" t="s">
        <v>30</v>
      </c>
      <c r="E69" s="9" t="str">
        <f aca="false">IFERROR(IF(ISNUMBER(C69),TEXT(10^INT(LOG10(ABS(C69)+1E-030))*CHOOSE(MATCH(C69/10^INT(LOG10(ABS(C69)+1E-030)),{0,1.0488,1.1489,1.249,1.3964,1.5492,1.6971,1.8974,2.0976,2.2978,2.5456,2.846,3.1464,3.4467,3.747,4.0951,4.4956,4.8959,5.3442,5.8924,6.4931,7.1414,7.8422,8.6383,9.5394},1),1,1.1,1.2,1.3,1.5,1.6,1.8,2,2.2,2.4,2.7,3,3.3,3.6,3.9,4.3,4.7,5.1,5.6,6.2,6.8,7.5,8.2,9.1,10),"0.##")&amp;" "&amp;D69,C69),"—")</f>
        <v>330 pF</v>
      </c>
      <c r="F69" s="9"/>
      <c r="G69" s="10"/>
      <c r="H69" s="9"/>
      <c r="I69" s="9"/>
      <c r="J69" s="11"/>
      <c r="K69" s="9"/>
    </row>
    <row r="70" customFormat="false" ht="105.75" hidden="false" customHeight="false" outlineLevel="0" collapsed="false">
      <c r="A70" s="7"/>
      <c r="B70" s="9" t="s">
        <v>97</v>
      </c>
      <c r="C70" s="41" t="str">
        <f aca="false">IF(C63&lt;C64,"Step-UP","Step-DOWN")</f>
        <v>Step-UP</v>
      </c>
      <c r="D70" s="33"/>
      <c r="E70" s="9"/>
      <c r="F70" s="9" t="s">
        <v>98</v>
      </c>
      <c r="G70" s="10"/>
      <c r="H70" s="9"/>
      <c r="I70" s="9"/>
      <c r="J70" s="11"/>
      <c r="K70" s="9"/>
    </row>
    <row r="71" customFormat="false" ht="15" hidden="false" customHeight="false" outlineLevel="0" collapsed="false">
      <c r="A71" s="7"/>
      <c r="B71" s="8"/>
      <c r="C71" s="8"/>
      <c r="D71" s="7"/>
      <c r="E71" s="9"/>
      <c r="F71" s="10"/>
      <c r="G71" s="10"/>
      <c r="H71" s="9"/>
      <c r="I71" s="9"/>
      <c r="J71" s="11"/>
      <c r="K71" s="9"/>
    </row>
    <row r="72" customFormat="false" ht="15.65" hidden="false" customHeight="false" outlineLevel="0" collapsed="false">
      <c r="A72" s="7"/>
      <c r="B72" s="36" t="s">
        <v>99</v>
      </c>
      <c r="C72" s="8"/>
      <c r="D72" s="7"/>
      <c r="E72" s="9"/>
      <c r="F72" s="10"/>
      <c r="G72" s="10"/>
      <c r="H72" s="9"/>
      <c r="I72" s="9"/>
      <c r="J72" s="11"/>
      <c r="K72" s="9"/>
    </row>
    <row r="73" customFormat="false" ht="15" hidden="false" customHeight="false" outlineLevel="0" collapsed="false">
      <c r="A73" s="7"/>
      <c r="B73" s="30" t="s">
        <v>8</v>
      </c>
      <c r="C73" s="30" t="s">
        <v>9</v>
      </c>
      <c r="D73" s="31" t="s">
        <v>10</v>
      </c>
      <c r="E73" s="30" t="s">
        <v>60</v>
      </c>
      <c r="F73" s="31" t="s">
        <v>48</v>
      </c>
      <c r="G73" s="31"/>
      <c r="H73" s="30"/>
      <c r="I73" s="30"/>
      <c r="J73" s="11"/>
      <c r="K73" s="9"/>
    </row>
    <row r="74" customFormat="false" ht="27.6" hidden="false" customHeight="false" outlineLevel="0" collapsed="false">
      <c r="A74" s="7"/>
      <c r="B74" s="9" t="s">
        <v>100</v>
      </c>
      <c r="C74" s="19" t="n">
        <f aca="false">IFERROR(IF(C18&lt;=0,"⚠ Frequency must be &gt; 0 MHz",1/(C41*C27*0.000000000001)),0)</f>
        <v>378.940340694989</v>
      </c>
      <c r="D74" s="33" t="s">
        <v>22</v>
      </c>
      <c r="E74" s="9"/>
      <c r="F74" s="9" t="s">
        <v>101</v>
      </c>
      <c r="G74" s="10"/>
      <c r="H74" s="9" t="str">
        <f aca="false">IF(C74&lt;3*C28,"⚠ Xciss≈Rgate: series-resonance approximation inaccurate. Use full complex-load synthesis (ADS/LTspice recommended).","ℹ Xciss="&amp;TEXT(ROUND(C74,1),"0.0")&amp;"Ω | Rgate="&amp;TEXT(C28,"0")&amp;"Ω | ratio="&amp;TEXT(ROUND(C74/C28,1),"0.0")&amp;"× — series-resonance model ("&amp;IF(C74&gt;3*C28,"accurate","marginal")&amp;")")</f>
        <v>ℹ Xciss=378.9Ω | Rgate=10Ω | ratio=37.9× — series-resonance model (accurate)</v>
      </c>
      <c r="I74" s="9"/>
      <c r="J74" s="11"/>
      <c r="K74" s="9"/>
    </row>
    <row r="75" customFormat="false" ht="27.6" hidden="false" customHeight="false" outlineLevel="0" collapsed="false">
      <c r="A75" s="7"/>
      <c r="B75" s="9" t="s">
        <v>102</v>
      </c>
      <c r="C75" s="19" t="n">
        <f aca="false">SQRT(C74^2+C28^2)</f>
        <v>379.072264622505</v>
      </c>
      <c r="D75" s="33" t="s">
        <v>22</v>
      </c>
      <c r="E75" s="9"/>
      <c r="F75" s="9" t="s">
        <v>103</v>
      </c>
      <c r="G75" s="10"/>
      <c r="H75" s="9"/>
      <c r="I75" s="9"/>
      <c r="J75" s="11"/>
      <c r="K75" s="9"/>
    </row>
    <row r="76" customFormat="false" ht="15" hidden="false" customHeight="false" outlineLevel="0" collapsed="false">
      <c r="A76" s="7"/>
      <c r="B76" s="9" t="s">
        <v>104</v>
      </c>
      <c r="C76" s="19" t="n">
        <f aca="false">C24</f>
        <v>50</v>
      </c>
      <c r="D76" s="33" t="s">
        <v>22</v>
      </c>
      <c r="E76" s="9"/>
      <c r="F76" s="9" t="s">
        <v>105</v>
      </c>
      <c r="G76" s="10"/>
      <c r="H76" s="9"/>
      <c r="I76" s="9"/>
      <c r="J76" s="11"/>
      <c r="K76" s="9"/>
    </row>
    <row r="77" customFormat="false" ht="66.75" hidden="false" customHeight="false" outlineLevel="0" collapsed="false">
      <c r="A77" s="7"/>
      <c r="B77" s="9" t="s">
        <v>106</v>
      </c>
      <c r="C77" s="19" t="n">
        <f aca="false">IF(C28=0,0,SQRT(MAX(MAX(C76,C28)/MIN(C76,C28)-1,0)))</f>
        <v>2</v>
      </c>
      <c r="D77" s="33" t="s">
        <v>18</v>
      </c>
      <c r="E77" s="9"/>
      <c r="F77" s="9" t="s">
        <v>107</v>
      </c>
      <c r="G77" s="10"/>
      <c r="H77" s="9"/>
      <c r="I77" s="9"/>
      <c r="J77" s="11"/>
      <c r="K77" s="9"/>
    </row>
    <row r="78" customFormat="false" ht="105.75" hidden="false" customHeight="false" outlineLevel="0" collapsed="false">
      <c r="A78" s="7"/>
      <c r="B78" s="9" t="s">
        <v>108</v>
      </c>
      <c r="C78" s="19" t="n">
        <f aca="false">IF(C74&lt;3*C28,"⚠ Xciss&lt;3×Rgate: series-resonance model invalid — use complex L-network synthesis (ADS/LTspice).",(C74+C77*MIN(C76,C28))/C41*1000000)</f>
        <v>9.07047531719604</v>
      </c>
      <c r="D78" s="33" t="s">
        <v>70</v>
      </c>
      <c r="E78" s="9" t="str">
        <f aca="false">IF(C74/C28&gt;=10,"—",IFERROR(IF(ISNUMBER(C78),TEXT(10^INT(LOG10(ABS(C78)+1E-030))*CHOOSE(MATCH(C78/10^INT(LOG10(ABS(C78)+1E-030)),{0,1.0488,1.1489,1.249,1.3964,1.5492,1.6971,1.8974,2.0976,2.2978,2.5456,2.846,3.1464,3.4467,3.747,4.0951,4.4956,4.8959,5.3442,5.8924,6.4931,7.1414,7.8422,8.6383,9.5394},1),1,1.1,1.2,1.3,1.5,1.6,1.8,2,2.2,2.4,2.7,3,3.3,3.6,3.9,4.3,4.7,5.1,5.6,6.2,6.8,7.5,8.2,9.1,10),"0.##")&amp;" "&amp;D78,C78),"—"))</f>
        <v>—</v>
      </c>
      <c r="F78" s="9" t="s">
        <v>109</v>
      </c>
      <c r="G78" s="10"/>
      <c r="H78" s="9" t="str">
        <f aca="false">IF(C74/C28&gt;=10,"ℹ Xciss/Rgate="&amp;TEXT(ROUND(C74/C28,0),"0")&amp;"× ≥ 10 — Series resonance dominates. L_in=1/(ω²·Ciss)+Q·R_min/ω="&amp;TEXT((C74+C77*MIN(C76,C28))/C41*1000000,"0.000")&amp;"µH (transformation term="&amp;TEXT(C77*MIN(C76,C28)/C41*1000000,"0.000")&amp;"µH, "&amp;TEXT(C77*MIN(C76,C28)/(C74+C77*MIN(C76,C28))*100,"0.1")&amp;"% of total). Verify with LTspice.",IF(C74/C28&gt;=5,"⚠ Xciss/Rgate="&amp;TEXT(ROUND(C74/C28,1),"0.0")&amp;"× ∈[5,10) — Marginal series-resonance. L_in includes both resonating+transformation terms. Verify with LTspice simulation.",IF(C74&lt;3*C28,"⚠ Xciss ≈ R_gate: complex-load synthesis recommended.","⚠ Xciss/Rgate="&amp;TEXT(ROUND(C74/C28,1),"0.0")&amp;"× ∈[3,5) — L_in includes resonating+transformation terms. Verify with ADS/LTspice.")))</f>
        <v>ℹ Xciss/Rgate=38× ≥ 10 — Series resonance dominates. L_in=1/(ω²·Ciss)+Q·R_min/ω=9.070µH (transformation term=0.455µH, 50% of total). Verify with LTspice.</v>
      </c>
      <c r="I78" s="9"/>
      <c r="J78" s="11"/>
      <c r="K78" s="9"/>
    </row>
    <row r="79" customFormat="false" ht="79.5" hidden="false" customHeight="false" outlineLevel="0" collapsed="false">
      <c r="A79" s="7"/>
      <c r="B79" s="9" t="s">
        <v>110</v>
      </c>
      <c r="C79" s="19" t="str">
        <f aca="false">IF(C74/C28&gt;=10,"⚠ C_in negligible — omit (Xciss/Rgate≥10; series resonance dominates)",IF(C74/C28&lt;3,"⚠ Model invalid — Xciss&lt;3×Rgate; use full complex-load synthesis (ADS/LTspice)",IF(C76&gt;=C28,C77/(C41*C76)*1000000000000,C77/(C41*C28)*1000000000000)))</f>
        <v>⚠ C_in negligible — omit (Xciss/Rgate≥10; series resonance dominates)</v>
      </c>
      <c r="D79" s="33" t="s">
        <v>30</v>
      </c>
      <c r="E79" s="9" t="str">
        <f aca="false">IF(C74/C28&gt;=10,"— (C_in negligible; omit)",IF(C74/C28&lt;3,"— (model invalid)",IFERROR(IF(ISNUMBER(C79),TEXT(10^INT(LOG10(ABS(C79)+1E-030))*CHOOSE(MATCH(C79/10^INT(LOG10(ABS(C79)+1E-030)),{0,1.0488,1.1489,1.249,1.3964,1.5492,1.6971,1.8974,2.0976,2.2978,2.5456,2.846,3.1464,3.4467,3.747,4.0951,4.4956,4.8959,5.3442,5.8924,6.4931,7.1414,7.8422,8.6383,9.5394},1),1,1.1,1.2,1.3,1.5,1.6,1.8,2,2.2,2.4,2.7,3,3.3,3.6,3.9,4.3,4.7,5.1,5.6,6.2,6.8,7.5,8.2,9.1,10),"0.##")&amp;" "&amp;D79,C79),"—")))</f>
        <v>— (C_in negligible; omit)</v>
      </c>
      <c r="F79" s="9" t="s">
        <v>111</v>
      </c>
      <c r="G79" s="10"/>
      <c r="H79" s="9"/>
      <c r="I79" s="9"/>
      <c r="J79" s="11"/>
      <c r="K79" s="9"/>
    </row>
    <row r="80" customFormat="false" ht="15" hidden="false" customHeight="false" outlineLevel="0" collapsed="false">
      <c r="A80" s="7"/>
      <c r="B80" s="8"/>
      <c r="C80" s="8"/>
      <c r="D80" s="7"/>
      <c r="E80" s="9"/>
      <c r="F80" s="10"/>
      <c r="G80" s="10"/>
      <c r="H80" s="9"/>
      <c r="I80" s="9"/>
      <c r="J80" s="11"/>
      <c r="K80" s="9"/>
    </row>
    <row r="81" customFormat="false" ht="15.65" hidden="false" customHeight="false" outlineLevel="0" collapsed="false">
      <c r="A81" s="7"/>
      <c r="B81" s="36" t="s">
        <v>112</v>
      </c>
      <c r="C81" s="8"/>
      <c r="D81" s="7"/>
      <c r="E81" s="9"/>
      <c r="F81" s="10"/>
      <c r="G81" s="10"/>
      <c r="H81" s="9"/>
      <c r="I81" s="9"/>
      <c r="J81" s="11"/>
      <c r="K81" s="9"/>
    </row>
    <row r="82" customFormat="false" ht="15" hidden="false" customHeight="false" outlineLevel="0" collapsed="false">
      <c r="A82" s="7"/>
      <c r="B82" s="30" t="s">
        <v>8</v>
      </c>
      <c r="C82" s="30" t="s">
        <v>9</v>
      </c>
      <c r="D82" s="31" t="s">
        <v>10</v>
      </c>
      <c r="E82" s="30"/>
      <c r="F82" s="31" t="s">
        <v>48</v>
      </c>
      <c r="G82" s="31"/>
      <c r="H82" s="30"/>
      <c r="I82" s="30"/>
      <c r="J82" s="11"/>
      <c r="K82" s="9"/>
    </row>
    <row r="83" customFormat="false" ht="92.9" hidden="false" customHeight="false" outlineLevel="0" collapsed="false">
      <c r="A83" s="7"/>
      <c r="B83" s="9" t="s">
        <v>113</v>
      </c>
      <c r="C83" s="19" t="n">
        <f aca="false">3.562*(C16-C35-C20)+C20</f>
        <v>17.81</v>
      </c>
      <c r="D83" s="33" t="s">
        <v>12</v>
      </c>
      <c r="E83" s="9"/>
      <c r="F83" s="9" t="s">
        <v>114</v>
      </c>
      <c r="G83" s="10"/>
      <c r="H83" s="9" t="str">
        <f aca="false">IF(C35&gt;0, "⚠ DROOP WARNING: ΔV="&amp;TEXT(C35,"0.00")&amp;"V reduces V_pk to "&amp;TEXT(C83,"0.0")&amp;"V vs no-droop "&amp;TEXT(3.562*(C16-C20)+C20,"0.0")&amp;"V. RFC choke partially decouples drain from supply droop under RF — verify V_pk with LTspice when ΔV&gt;0.5V. For V_DSS safety, use no-droop V_pk="&amp;TEXT(3.562*(C16-C20)+C20,"0.0")&amp;"V in C84.", "")</f>
        <v/>
      </c>
      <c r="I83" s="9"/>
      <c r="J83" s="11"/>
      <c r="K83" s="9"/>
    </row>
    <row r="84" customFormat="false" ht="27.6" hidden="false" customHeight="false" outlineLevel="0" collapsed="false">
      <c r="A84" s="7"/>
      <c r="B84" s="9" t="s">
        <v>115</v>
      </c>
      <c r="C84" s="19" t="n">
        <f aca="false">C37*C83</f>
        <v>53.43</v>
      </c>
      <c r="D84" s="33" t="s">
        <v>12</v>
      </c>
      <c r="E84" s="9"/>
      <c r="F84" s="9" t="str">
        <f aca="false">"V_DSS ≥ "&amp;TEXT(C84,"0")&amp;"V ("&amp;TEXT(C37,"0.0")&amp;"× safety margin applied: V_pk_nominal="&amp;TEXT(C83,"0.0")&amp;"V × "&amp;TEXT(C37,"0.0")&amp;"). Mistuned V_pk can reach 5×Vcc; increase C34 for worst-case designs."</f>
        <v>V_DSS ≥ 53V (3.0× safety margin applied: V_pk_nominal=17.8V × 3.0). Mistuned V_pk can reach 5×Vcc; increase C34 for worst-case designs.</v>
      </c>
      <c r="G84" s="10"/>
      <c r="H84" s="9" t="str">
        <f aca="false">IF(C84&lt;4*C83,"⚠ Consider 4× margin (V_DSS ≥ "&amp;TEXT(4*C83,"0")&amp;"V) for worst-case 5×Vcc mistuning scenario.","")</f>
        <v>⚠ Consider 4× margin (V_DSS ≥ 71V) for worst-case 5×Vcc mistuning scenario.</v>
      </c>
      <c r="I84" s="9" t="str">
        <f aca="false">IF(C16*5&gt;IFERROR(VLOOKUP(B9,'MOSFET Reference Table'!$A:$C,3,0)*1,9999),"🚨 WORST-CASE FAIL: 5×Vcc="&amp;TEXT(C16*5,"0")&amp;"V &gt; V_DSS="&amp;TEXT(IFERROR(VLOOKUP(B9,'MOSFET Reference Table'!$A:$C,3,0)*1,9999),"0")&amp;"V — device WILL fail under mistuning!","✅ Worst-case 5×Vcc="&amp;TEXT(C16*5,"0")&amp;"V &lt; V_DSS="&amp;TEXT(IFERROR(VLOOKUP(B9,'MOSFET Reference Table'!$A:$C,3,0)*1,9999),"0")&amp;"V — safe under mistuning.")</f>
        <v>✅ Worst-case 5×Vcc=25V &lt; V_DSS=60V — safe under mistuning.</v>
      </c>
      <c r="J84" s="11"/>
      <c r="K84" s="9"/>
    </row>
    <row r="85" customFormat="false" ht="40.5" hidden="false" customHeight="false" outlineLevel="0" collapsed="false">
      <c r="A85" s="7"/>
      <c r="B85" s="9" t="s">
        <v>116</v>
      </c>
      <c r="C85" s="19" t="n">
        <f aca="false">IF(AND(ISNUMBER(C42),ISNUMBER(C54)),3.562*(C16-C35-C20)*(1+0.6*C42/(C41*C54))+C20,"⚠ R invalid — set QL ≥ 1.7879")</f>
        <v>18.02372</v>
      </c>
      <c r="D85" s="33" t="s">
        <v>12</v>
      </c>
      <c r="E85" s="9"/>
      <c r="F85" s="9" t="s">
        <v>117</v>
      </c>
      <c r="G85" s="10" t="str">
        <f aca="false">IF(C20&gt;0,"⚠ C85 informational only — use C84 for device selection.","")</f>
        <v/>
      </c>
      <c r="H85" s="9"/>
      <c r="I85" s="9"/>
      <c r="J85" s="11"/>
      <c r="K85" s="9"/>
    </row>
    <row r="86" customFormat="false" ht="15" hidden="false" customHeight="false" outlineLevel="0" collapsed="false">
      <c r="A86" s="7"/>
      <c r="B86" s="9" t="s">
        <v>118</v>
      </c>
      <c r="C86" s="19" t="n">
        <f aca="false">2.862*C43</f>
        <v>0.285214729706306</v>
      </c>
      <c r="D86" s="33" t="s">
        <v>55</v>
      </c>
      <c r="E86" s="9"/>
      <c r="F86" s="9" t="s">
        <v>119</v>
      </c>
      <c r="G86" s="10"/>
      <c r="H86" s="9"/>
      <c r="I86" s="9"/>
      <c r="J86" s="11"/>
      <c r="K86" s="9"/>
    </row>
    <row r="87" customFormat="false" ht="27.6" hidden="false" customHeight="false" outlineLevel="0" collapsed="false">
      <c r="A87" s="7"/>
      <c r="B87" s="9" t="s">
        <v>120</v>
      </c>
      <c r="C87" s="19" t="n">
        <f aca="false">C43</f>
        <v>0.0996557406381223</v>
      </c>
      <c r="D87" s="33" t="s">
        <v>55</v>
      </c>
      <c r="E87" s="9"/>
      <c r="F87" s="9" t="s">
        <v>121</v>
      </c>
      <c r="G87" s="10"/>
      <c r="H87" s="9"/>
      <c r="I87" s="9"/>
      <c r="J87" s="11"/>
      <c r="K87" s="9"/>
    </row>
    <row r="88" customFormat="false" ht="105.95" hidden="false" customHeight="false" outlineLevel="0" collapsed="false">
      <c r="A88" s="7"/>
      <c r="B88" s="9" t="s">
        <v>122</v>
      </c>
      <c r="C88" s="19" t="n">
        <f aca="false">IF(NOT(ISNUMBER(C42)),"⚠ R (C42) invalid — fix QL in C19 first",IFERROR(IF(NOT(ISNUMBER(VLOOKUP(B9,'MOSFET Reference Table'!$A:$E,5,0)*1)),"⚠ LDMOS/no Rds — using input η="&amp;TEXT(C21,"0%"),IF(J90&gt;=C42,"🚨 η&lt;0: Rds losses exceed R — device unsuitable at this operating point",IF(NOT(ISNUMBER(J96)),J92,IF(J96&lt;0,"🚨 η&lt;0: Total losses (resistive+switching+RFC+Coss) exceed input power — device unsuitable",MAX(MIN(J96,0.99),0.01))))),C21))</f>
        <v>0.802763588808218</v>
      </c>
      <c r="D88" s="33" t="s">
        <v>18</v>
      </c>
      <c r="E88" s="9" t="str">
        <f aca="false">IF(ISNUMBER(C88),IF(ABS(C88-C21)&gt;0.005,"ℹ Analytical η="&amp;TEXT(C88,"0.0%")&amp;" (room-temp Rds only). C20 informational. ⚠ THERMAL: if C92&lt;999, see I88 for derated η — C88 does NOT auto-update with thermal derating.","✅ η analytical — self-consistent. If C92&lt;999 entered, check I88 for thermally-derated η (not fed into C88)."),"—")</f>
        <v>ℹ Analytical η=80% (room-temp Rds only). C20 informational. ⚠ THERMAL: if C92&lt;999, see I88 for derated η — C88 does NOT auto-update with thermal derating.</v>
      </c>
      <c r="F88" s="9" t="str">
        <f aca="false">IF(IFERROR(VLOOKUP(B9,'MOSFET Reference Table'!$A:$I,9,0)*1,0)=0,IF(C18&lt;1,"ℹ fT not rated (VLF/LF design) — fT=0 warning suppressed for f&lt;1 MHz. Analytical η: eta_res=R/(R+losses). RFC loss = ESR_RFC×I_dc²/P_in where P_in=(Vcc−ΔV)×I_dc (replaces Sokal −0.01 fixed term; denominator is P_in NOT P_out). p_coss=½·Coss_eff·V_pk²·f·k_coss — k_coss (I36 — auto from MOSFET type; to override: replace I36 formula with your value, default 0.25) is the ZVS energy factor: 0.35–0.50 for Si-DMOS poor ZVS; 0.05–0.10 for RF LDMOS; 0.25 for unknown. Losses: ESR_L2(C22), ESR_C2(C30), 1.365×Rds(on), 0.2116×ESR_C1(C31).","ℹ fT=0: MOSFET not rated for RF — verify suitability at this frequency."),IF(IFERROR(VLOOKUP(B9,'MOSFET Reference Table'!$A:$I,9,0)*1,0)&lt;C18,"⚠ fT ("&amp;TEXT(IFERROR(VLOOKUP(B9,'MOSFET Reference Table'!$A:$I,9,0)*1,0),"0")&amp;" MHz)"&amp;" &lt; f ("&amp;TEXT(C18,"0")&amp;" MHz) — operating above fT: efficiency will be significantly lower than predicted.","ℹ Analytical η: eta_res=R/(R+losses). RFC actual loss = ESR_RFC×I_dc²/P_in where P_in=(Vcc−ΔV−Vo)×I_dc (replaces Sokal 1% term; denominator is P_in NOT P_out). Coss term uses empirical ZVS energy factor (I35). The ZVS factor is theoretically 0 for ideal ZVS and up to 0.5 for poor ZVS — verify with LTspice for high-Coss devices or VLF designs."))</f>
        <v>ℹ Analytical η: eta_res=R/(R+losses). RFC actual loss = ESR_RFC×I_dc²/P_in where P_in=(Vcc−ΔV−Vo)×I_dc (replaces Sokal 1% term; denominator is P_in NOT P_out). Coss term uses empirical ZVS energy factor (I35). The ZVS factor is theoretically 0 for ideal ZVS and up to 0.5 for poor ZVS — verify with LTspice for high-Coss devices or VLF designs.</v>
      </c>
      <c r="G88" s="10"/>
      <c r="H88" s="9" t="str">
        <f aca="false">IF(IFERROR(VLOOKUP(B9,'MOSFET Reference Table'!$A:$I,9,0)*1,0)=0,IF(C18&lt;1,"ℹ fT not rated (VLF/LF design) — fT=0 warning suppressed for f&lt;1 MHz.","⚠ fT=0: MOSFET not rated for RF — verify suitability at this frequency."),IF(IFERROR(VLOOKUP(B9,'MOSFET Reference Table'!$A:$I,9,0)*1,0)&lt;C18,"⚠ fT &lt; operating frequency — MOSFET too slow for Class-E at "&amp;TEXT(C18,"0")&amp;" MHz.","ℹ Switching loss uses tf≈2.5/fT approximation (Sokal). Actual tf varies ±3× from this estimate. Enter measured tf (ns) in C34 for best accuracy."))</f>
        <v>ℹ Switching loss uses tf≈2.5/fT approximation (Sokal). Actual tf varies ±3× from this estimate. Enter measured tf (ns) in C34 for best accuracy.</v>
      </c>
      <c r="I88" s="9" t="str">
        <f aca="false">IF(C92&gt;=999,"ℹ Enter θ_JA in C90 to compute derated η",IF(NOT(ISNUMBER(C88)),"—",IF(J100&gt;200,"⚠ T_j estimate exceeds 200°C — thermal design required","ℹ T_j≈"&amp;TEXT(J100,"0")&amp;"°C | Rds derated "&amp;TEXT(((J100+273)/298)^J101,"0.00")&amp;"× | Derated η≈"&amp;TEXT(J104,"0.0%")&amp;" vs room-temp η="&amp;TEXT(C88,"0.0%")&amp;" (Δη="&amp;TEXT(C88-J104,"0.0%")&amp;" lower)")))</f>
        <v>ℹ Enter θ_JA in C90 to compute derated η</v>
      </c>
      <c r="J88" s="11" t="n">
        <f aca="false">IFERROR(VLOOKUP(B9,'MOSFET Reference Table'!$A:$E,5,0)*1,"#NA")</f>
        <v>5</v>
      </c>
      <c r="K88" s="9"/>
    </row>
    <row r="89" customFormat="false" ht="92.9" hidden="false" customHeight="false" outlineLevel="0" collapsed="false">
      <c r="A89" s="7"/>
      <c r="B89" s="9" t="s">
        <v>123</v>
      </c>
      <c r="C89" s="19" t="n">
        <f aca="false">(C16-C35)*C43-C17</f>
        <v>0.0982787031906113</v>
      </c>
      <c r="D89" s="33" t="s">
        <v>14</v>
      </c>
      <c r="E89" s="9" t="str">
        <f aca="false">IF(C20&gt;0,"⚠ BJT P_diss WARNING: sheet overestimates P_diss by +"&amp;TEXT(C20/(C16-C35-C20)*100,"0.0")&amp;"% due to I_dc using Veff=(Vcc-ΔV-Vo) denominator. True P_diss = Pout×(1/η−1) = "&amp;TEXT(C17*(1/IF(ISNUMBER(C88),C88,C21)-1),"0.000")&amp;" W. C89 is conservatively safe for heatsink selection.","✅ MOSFET (Vo=0): C89 is exact")</f>
        <v>✅ MOSFET (Vo=0): C89 is exact</v>
      </c>
      <c r="F89" s="9" t="s">
        <v>124</v>
      </c>
      <c r="G89" s="10" t="str">
        <f aca="false">IF(C20&gt;0, "Exact P_diss (BJT)="&amp;TEXT(C17*(1/IF(ISNUMBER(C88),C88,C21)-1),"0.000")&amp;" W  |  Sheet C89 overestimates by "&amp;TEXT((C89-C17*(1/IF(ISNUMBER(C88),C88,C21)-1))/ABS(C17*(1/IF(ISNUMBER(C88),C88,C21)-1))*100,"0.0")&amp;"%  ← Use this for thermal design when Vo&gt;0", "✅ MOSFET (Vo=0): C89 exact")</f>
        <v>✅ MOSFET (Vo=0): C89 exact</v>
      </c>
      <c r="H89" s="9"/>
      <c r="I89" s="9" t="s">
        <v>125</v>
      </c>
      <c r="J89" s="11" t="n">
        <f aca="false">IFERROR(VLOOKUP(B9,'MOSFET Reference Table'!$A:$I,9,0)*1,0)</f>
        <v>300</v>
      </c>
      <c r="K89" s="9"/>
    </row>
    <row r="90" customFormat="false" ht="79.5" hidden="false" customHeight="false" outlineLevel="0" collapsed="false">
      <c r="A90" s="7"/>
      <c r="B90" s="9" t="s">
        <v>126</v>
      </c>
      <c r="C90" s="19" t="n">
        <f aca="false">IF(C89&lt;=0,"N/A (P_diss ≈0)",(IFERROR(INDEX('MOSFET Reference Table'!$M:$M,MATCH(B9,'MOSFET Reference Table'!$A:$A,0)),IF((IFERROR(INDEX('MOSFET Reference Table'!$P:$P,MATCH(B9,'MOSFET Reference Table'!$A:$A,0)),""))="LDMOS",200,150))-C29)/IFERROR(IF(ISNUMBER(J88),MIN(J99,C89),C89),C89))</f>
        <v>1613.52437889985</v>
      </c>
      <c r="D90" s="33" t="s">
        <v>127</v>
      </c>
      <c r="E90" s="9"/>
      <c r="F90" s="9" t="s">
        <v>128</v>
      </c>
      <c r="G90" s="10"/>
      <c r="H90" s="9" t="str">
        <f aca="false">IF(NOT(ISNUMBER(C90)),"—",IF(C92&gt;=999,"ℹ Enter actual θ_JA (C92) to estimate T_j",IF(C89&lt;=0,"✅ T_j ≈ "&amp;TEXT(C29,"0")&amp;"°C (P_diss≈0)",IF(J105&gt;100,"⚠ T_j ≈ "&amp;TEXT(J105,"0")&amp;"°C: Rds(on) derated ~"&amp;TEXT(((J105+273)/298)^2.3,"0.0")&amp;"× — actual η lower than predicted.","✅ T_j ≈ "&amp;TEXT(J105,"0")&amp;"°C"))))</f>
        <v>ℹ Enter actual θ_JA (C92) to estimate T_j</v>
      </c>
      <c r="I90" s="9" t="str">
        <f aca="false">IF(IFERROR(INDEX('MOSFET Reference Table'!$P:$P,MATCH(B9,'MOSFET Reference Table'!$A:$A,0)),"")="LDMOS","⚠ LDMOS THERMAL NOTE: θ_JA (C90) denominator uses total P_diss (C89) which includes external component losses (ESR_L2, ESR_C2, ESR_C1) that heat passive components, NOT the MOSFET die. Actual MOSFET-only dissipation is typically 60–80% of C89 for LDMOS. C90 is conservative (requires better heatsink than strictly needed). For a tighter estimate: multiply C89 by 0.65–0.80 and use as denominator manually.","✅ Rds(on) available — J98 computes MOSFET-only dissipation for C90 (correct).")</f>
        <v>✅ Rds(on) available — J98 computes MOSFET-only dissipation for C90 (correct).</v>
      </c>
      <c r="J90" s="11" t="n">
        <f aca="false">IF(ISNUMBER(J88),C22+C30+1.365*J88+0.2116*C31,0)</f>
        <v>6.887116</v>
      </c>
      <c r="K90" s="9"/>
    </row>
    <row r="91" customFormat="false" ht="119" hidden="false" customHeight="false" outlineLevel="0" collapsed="false">
      <c r="A91" s="7"/>
      <c r="B91" s="9" t="s">
        <v>129</v>
      </c>
      <c r="C91" s="19" t="str">
        <f aca="false">IF(NOT(ISNUMBER(C19)),"—",IF(C19&lt;=1.7879,"⚠ QL≤min (1.7879) — C2→∞, Class-E boundary",IFERROR(IF(ISNUMBER(C52),"C2·ω·R="&amp;TEXT((C52+0.2/(C41^2*C54))*C41*C42,"0.00000")&amp;" | Sokal Eq.9="&amp;TEXT((1/(C19-0.104823))*(1.00121+1.01468/(C19-1.7879)),"0.00000")&amp;IF(ABS((C52+0.2/(C41^2*C54))*C41*C42-(1/(C19-0.104823))*(1.00121+1.01468/(C19-1.7879)))&gt;0.0005," ⚠MISMATCH"," ✔OK"),"⚠ C52 (C2) not numeric — check QL in C19"),"⚠ ERROR")))</f>
        <v>C2·ω·R=0.26906 | Sokal Eq.9=0.26906 ✔OK</v>
      </c>
      <c r="D91" s="33" t="s">
        <v>18</v>
      </c>
      <c r="E91" s="9"/>
      <c r="F91" s="9" t="s">
        <v>130</v>
      </c>
      <c r="G91" s="9" t="str">
        <f aca="false">IF(ISNUMBER(C42),"ℹ RFC COEFFICIENT NOTE: The C91 cross-check verifies Sokal polynomial fit accuracy (QL dependency) but CANNOT verify the RFC correction coefficients 0.6 (C1) and 0.2 (C2) because these algebraically cancel out in the check. To verify RFC coefficients: set RFC→∞ (C54→very large) then compare C2·ω·R to Sokal Table I directly.","—")</f>
        <v>ℹ RFC COEFFICIENT NOTE: The C91 cross-check verifies Sokal polynomial fit accuracy (QL dependency) but CANNOT verify the RFC correction coefficients 0.6 (C1) and 0.2 (C2) because these algebraically cancel out in the check. To verify RFC coefficients: set RFC→∞ (C54→very large) then compare C2·ω·R to Sokal Table I directly.</v>
      </c>
      <c r="H91" s="9"/>
      <c r="I91" s="9"/>
      <c r="J91" s="11" t="n">
        <f aca="false">IF(ISNUMBER(C19),IF(C19&gt;0,0.576801*(1.0000086-0.414395/C19-0.577501/C19^2+0.205967/C19^3),0),0)</f>
        <v>0.516627560010096</v>
      </c>
      <c r="K91" s="9"/>
    </row>
    <row r="92" customFormat="false" ht="79.5" hidden="false" customHeight="false" outlineLevel="0" collapsed="false">
      <c r="A92" s="7"/>
      <c r="B92" s="8" t="s">
        <v>131</v>
      </c>
      <c r="C92" s="8" t="n">
        <v>999</v>
      </c>
      <c r="D92" s="7" t="s">
        <v>127</v>
      </c>
      <c r="E92" s="9" t="str">
        <f aca="false">IF(C92&gt;=999,"ℹ Enter actual θ_JA (°C/W) to see thermally-derated η below (I86).","✅ θ_JA set")</f>
        <v>ℹ Enter actual θ_JA (°C/W) to see thermally-derated η below (I86).</v>
      </c>
      <c r="F92" s="9" t="s">
        <v>132</v>
      </c>
      <c r="G92" s="10"/>
      <c r="H92" s="9"/>
      <c r="I92" s="9"/>
      <c r="J92" s="11" t="n">
        <f aca="false">IF(NOT(ISNUMBER(J88)),0.05,IF(J90&gt;=C42,"🚨 η&lt;0: Rds losses exceed R — device unsuitable at this operating point",MAX(MIN(C42/(C42+J90),0.99),0.01)))</f>
        <v>0.824202152023751</v>
      </c>
      <c r="K92" s="9"/>
    </row>
    <row r="93" customFormat="false" ht="27.6" hidden="false" customHeight="false" outlineLevel="0" collapsed="false">
      <c r="A93" s="7"/>
      <c r="B93" s="8"/>
      <c r="C93" s="8"/>
      <c r="D93" s="7"/>
      <c r="E93" s="9"/>
      <c r="F93" s="9"/>
      <c r="G93" s="9" t="str">
        <f aca="false">IF(J93&gt;0.15,"🚨 SWITCHING LOSS MODEL INVALID: t_f/T="&amp;TEXT(J93,"0.00")&amp;"&gt; 15%. Sokal alpha formula breaks down. Use LTspice for actual eta. Consider a faster MOSFET (fT &gt;"&amp;TEXT(25*C18,"0")&amp;"MHz).",IF(J93&gt;0.08,"⚠ t_f/T="&amp;TEXT(J93,"0.00")&amp;"&gt; 8% — switching loss model marginal. Verify with LTspice.",IF(J93&gt;0,"ℹ t_f/T="&amp;TEXT(J93,"0.000")&amp;" — switching loss model valid (&lt;&lt; 1).","")))</f>
        <v>ℹ t_f/T=0.000 — switching loss model valid (&lt;&lt; 1).</v>
      </c>
      <c r="H93" s="34"/>
      <c r="I93" s="9"/>
      <c r="J93" s="11" t="n">
        <f aca="false">IF(C34&gt;0,C18*1000000*(C34/1000000000),IF(J89&gt;0,2.5*C18/J89,0))</f>
        <v>0.0583333333333333</v>
      </c>
      <c r="K93" s="9"/>
    </row>
    <row r="94" customFormat="false" ht="15" hidden="false" customHeight="false" outlineLevel="0" collapsed="false">
      <c r="A94" s="7"/>
      <c r="B94" s="8"/>
      <c r="C94" s="8"/>
      <c r="D94" s="7"/>
      <c r="E94" s="9"/>
      <c r="F94" s="9"/>
      <c r="G94" s="9"/>
      <c r="H94" s="34"/>
      <c r="I94" s="9"/>
      <c r="J94" s="11"/>
      <c r="K94" s="9"/>
    </row>
    <row r="95" customFormat="false" ht="15.65" hidden="false" customHeight="false" outlineLevel="0" collapsed="false">
      <c r="A95" s="7"/>
      <c r="B95" s="36" t="s">
        <v>133</v>
      </c>
      <c r="C95" s="8"/>
      <c r="D95" s="7"/>
      <c r="E95" s="9"/>
      <c r="F95" s="10"/>
      <c r="G95" s="10"/>
      <c r="H95" s="9" t="str">
        <f aca="false">IF(C20&gt;0, "⚠ RFC LOSS BIAS: J95 uses Veff="&amp;TEXT(C44,"0.0")&amp;"V for P_in denominator. Sokal uses Vcc="&amp;TEXT(C16,"0.0")&amp;"V. RFC loss fraction inflated by "&amp;TEXT((C16-C35)/(C44)-1,"0.0%")&amp;" for BJT (Vo&gt;0). MOSFET (Vo=0): no error.", "✅ MOSFET: Veff=Vcc (Vo=0), no bias")</f>
        <v>✅ MOSFET: Veff=Vcc (Vo=0), no bias</v>
      </c>
      <c r="I95" s="9" t="str">
        <f aca="false">IF(C20&gt;0,"ℹ J95 uses Veff×I_dc for P_in; Sokal uses Vcc×I_dc. Ratio="&amp;TEXT((C16-C35)/C44,"0.000")&amp;". J95 slightly underestimates η for BJT. First-order approximation only.","✅ MOSFET: exact")</f>
        <v>✅ MOSFET: exact</v>
      </c>
      <c r="J95" s="11" t="n">
        <f aca="false">0.5*(C32*0.000000000001*C36)*C83^2*(C18*1000000)*$H$36</f>
        <v>0.002131557792</v>
      </c>
      <c r="K95" s="9"/>
    </row>
    <row r="96" customFormat="false" ht="15" hidden="false" customHeight="false" outlineLevel="0" collapsed="false">
      <c r="A96" s="7"/>
      <c r="B96" s="42" t="s">
        <v>8</v>
      </c>
      <c r="C96" s="42" t="s">
        <v>9</v>
      </c>
      <c r="D96" s="43" t="s">
        <v>10</v>
      </c>
      <c r="E96" s="30" t="s">
        <v>60</v>
      </c>
      <c r="F96" s="31" t="s">
        <v>48</v>
      </c>
      <c r="G96" s="31"/>
      <c r="H96" s="30"/>
      <c r="I96" s="30"/>
      <c r="J96" s="11" t="n">
        <f aca="false">IF(ISNUMBER(J92),MIN(J92-(PI()*(1+0.82/C19)*J93)^2/3-J95/MAX(C44*C43,0.001)-C23*C43/MAX(C44,0.001),0.99),J92)</f>
        <v>0.802763588808218</v>
      </c>
      <c r="K96" s="34"/>
      <c r="L96" s="5"/>
    </row>
    <row r="97" customFormat="false" ht="92.9" hidden="false" customHeight="false" outlineLevel="0" collapsed="false">
      <c r="A97" s="7"/>
      <c r="B97" s="8" t="s">
        <v>134</v>
      </c>
      <c r="C97" s="44" t="n">
        <f aca="false">1.4*C18</f>
        <v>9.8</v>
      </c>
      <c r="D97" s="45" t="s">
        <v>16</v>
      </c>
      <c r="E97" s="9"/>
      <c r="F97" s="9" t="s">
        <v>135</v>
      </c>
      <c r="G97" s="10"/>
      <c r="H97" s="9"/>
      <c r="I97" s="9"/>
      <c r="J97" s="11" t="n">
        <f aca="false">IF(ISNUMBER(C88),C17/C88,0)</f>
        <v>0.498278703190611</v>
      </c>
      <c r="K97" s="9"/>
    </row>
    <row r="98" customFormat="false" ht="15" hidden="false" customHeight="false" outlineLevel="0" collapsed="false">
      <c r="A98" s="7"/>
      <c r="B98" s="8" t="s">
        <v>136</v>
      </c>
      <c r="C98" s="44" t="n">
        <f aca="false">2*PI()*C97*1000000</f>
        <v>61575216.0103599</v>
      </c>
      <c r="D98" s="45" t="s">
        <v>50</v>
      </c>
      <c r="E98" s="9"/>
      <c r="F98" s="9"/>
      <c r="G98" s="10"/>
      <c r="H98" s="9"/>
      <c r="I98" s="9"/>
      <c r="J98" s="11" t="n">
        <f aca="false">IF(ISNUMBER(C19),IF(C19&gt;0,(PI()*(1+0.82/C19)*J93)^2/3*J97,0),0)</f>
        <v>0.00755771245917783</v>
      </c>
      <c r="K98" s="9"/>
    </row>
    <row r="99" customFormat="false" ht="27.6" hidden="false" customHeight="false" outlineLevel="0" collapsed="false">
      <c r="A99" s="7"/>
      <c r="B99" s="8" t="s">
        <v>137</v>
      </c>
      <c r="C99" s="44" t="n">
        <f aca="false">C25</f>
        <v>50</v>
      </c>
      <c r="D99" s="45" t="s">
        <v>22</v>
      </c>
      <c r="E99" s="9"/>
      <c r="F99" s="9" t="s">
        <v>138</v>
      </c>
      <c r="G99" s="10"/>
      <c r="H99" s="9" t="str">
        <f aca="false">IF(ISNUMBER(J99),IF(J99&gt;C89,"⚠ THERMAL NOTE: J98 ("&amp;TEXT(J99,"0.000")&amp;" W) &gt; total P_diss (C89="&amp;TEXT(C89,"0.000")&amp;" W). This can occur because MOSFET conduction/switching losses differ from non-MOSFET losses. C90 is capped at MIN(J98,C89). J98 correctly uses Pout/J92 (resistive-only eta) for the 1.365×Rds/R Sokal term.","✅ J98≤C89: MOSFET thermal model self-consistent."),"—")</f>
        <v>✅ J98≤C89: MOSFET thermal model self-consistent.</v>
      </c>
      <c r="I99" s="9"/>
      <c r="J99" s="11" t="n">
        <f aca="false">IF(ISNUMBER(J88),C43^2*1.365*J88+J98+J95,J98+J95)</f>
        <v>0.0774701650837335</v>
      </c>
      <c r="K99" s="9"/>
    </row>
    <row r="100" customFormat="false" ht="132" hidden="false" customHeight="false" outlineLevel="0" collapsed="false">
      <c r="A100" s="7"/>
      <c r="B100" s="8" t="s">
        <v>139</v>
      </c>
      <c r="C100" s="44" t="n">
        <f aca="false">IFERROR(1.1468*C99/C98,0)</f>
        <v>9.31218820090743E-007</v>
      </c>
      <c r="D100" s="45" t="s">
        <v>67</v>
      </c>
      <c r="E100" s="9" t="str">
        <f aca="false">IF(C110+15&lt;-50,"✅ Worst-case likely meets −50 dBc IARU (theoretical: "&amp;TEXT(ABS(C110),"0.0")&amp;" dBc; worst-case: "&amp;TEXT(ABS(C110+15),"0.0")&amp;" dBc). Verify with spectrum analyser.",IF(C110+15&lt;-43,"⚠ Worst-case likely meets FCC −43 dBc only (theoretical: "&amp;TEXT(ABS(C110),"0.0")&amp;" dBc; worst-case: "&amp;TEXT(ABS(C110+15),"0.0")&amp;" dBc). Add filter margin for IARU −50 dBc. Verify with spectrum analyser.","🚨 Worst-case may FAIL FCC −43 dBc (theoretical: "&amp;TEXT(ABS(C110),"0.0")&amp;" dBc; worst-case: "&amp;TEXT(ABS(C110+15),"0.0")&amp;" dBc) — add filter poles or reduce fc. Verify with spectrum analyser."))</f>
        <v>🚨 Worst-case may FAIL FCC −43 dBc (theoretical: 16.6 dBc; worst-case: 1.6 dBc) — add filter poles or reduce fc. Verify with spectrum analyser.</v>
      </c>
      <c r="F100" s="9" t="s">
        <v>140</v>
      </c>
      <c r="G100" s="10"/>
      <c r="H100" s="9"/>
      <c r="I100" s="9"/>
      <c r="J100" s="11" t="n">
        <f aca="false">C29+J99*C92</f>
        <v>102.39269491865</v>
      </c>
      <c r="K100" s="9"/>
    </row>
    <row r="101" customFormat="false" ht="15" hidden="false" customHeight="false" outlineLevel="0" collapsed="false">
      <c r="A101" s="7"/>
      <c r="B101" s="8" t="s">
        <v>141</v>
      </c>
      <c r="C101" s="44" t="n">
        <f aca="false">C100*1000000</f>
        <v>0.931218820090743</v>
      </c>
      <c r="D101" s="45" t="s">
        <v>70</v>
      </c>
      <c r="E101" s="9" t="str">
        <f aca="false">IFERROR(IF(ISNUMBER(C101),TEXT(10^INT(LOG10(ABS(C101)+1E-030))*CHOOSE(MATCH(C101/10^INT(LOG10(ABS(C101)+1E-030)),{0,1.0488,1.1489,1.249,1.3964,1.5492,1.6971,1.8974,2.0976,2.2978,2.5456,2.846,3.1464,3.4467,3.747,4.0951,4.4956,4.8959,5.3442,5.8924,6.4931,7.1414,7.8422,8.6383,9.5394},1),1,1.1,1.2,1.3,1.5,1.6,1.8,2,2.2,2.4,2.7,3,3.3,3.6,3.9,4.3,4.7,5.1,5.6,6.2,6.8,7.5,8.2,9.1,10),"0.##")&amp;" "&amp;D101,C101),"—")</f>
        <v>0.91 µH</v>
      </c>
      <c r="F101" s="9"/>
      <c r="G101" s="10"/>
      <c r="H101" s="9"/>
      <c r="I101" s="9"/>
      <c r="J101" s="11" t="n">
        <f aca="false">IFERROR(INDEX('MOSFET Reference Table'!$Q:$Q,MATCH(B9,'MOSFET Reference Table'!$A:$A,0)),2.3)</f>
        <v>2.5</v>
      </c>
      <c r="K101" s="9"/>
    </row>
    <row r="102" customFormat="false" ht="15" hidden="false" customHeight="false" outlineLevel="0" collapsed="false">
      <c r="A102" s="7"/>
      <c r="B102" s="8" t="s">
        <v>142</v>
      </c>
      <c r="C102" s="44" t="n">
        <f aca="false">1.3712/(C99*C98)</f>
        <v>4.45373995852259E-010</v>
      </c>
      <c r="D102" s="45" t="s">
        <v>62</v>
      </c>
      <c r="E102" s="9"/>
      <c r="F102" s="9" t="s">
        <v>143</v>
      </c>
      <c r="G102" s="10"/>
      <c r="H102" s="9"/>
      <c r="I102" s="9"/>
      <c r="J102" s="11" t="n">
        <f aca="false">IF(ISNUMBER(J88),J88*((J100+273)/298)^J101,0)</f>
        <v>8.90520428915387</v>
      </c>
      <c r="K102" s="9"/>
    </row>
    <row r="103" customFormat="false" ht="15" hidden="false" customHeight="false" outlineLevel="0" collapsed="false">
      <c r="A103" s="7"/>
      <c r="B103" s="8" t="s">
        <v>144</v>
      </c>
      <c r="C103" s="44" t="n">
        <f aca="false">C102*1000000000000</f>
        <v>445.373995852259</v>
      </c>
      <c r="D103" s="45" t="s">
        <v>30</v>
      </c>
      <c r="E103" s="9" t="str">
        <f aca="false">IFERROR(IF(ISNUMBER(C103),TEXT(10^INT(LOG10(ABS(C103)+1E-030))*CHOOSE(MATCH(C103/10^INT(LOG10(ABS(C103)+1E-030)),{0,1.0488,1.1489,1.249,1.3964,1.5492,1.6971,1.8974,2.0976,2.2978,2.5456,2.846,3.1464,3.4467,3.747,4.0951,4.4956,4.8959,5.3442,5.8924,6.4931,7.1414,7.8422,8.6383,9.5394},1),1,1.1,1.2,1.3,1.5,1.6,1.8,2,2.2,2.4,2.7,3,3.3,3.6,3.9,4.3,4.7,5.1,5.6,6.2,6.8,7.5,8.2,9.1,10),"0.##")&amp;" "&amp;D103,C103),"—")</f>
        <v>430 pF</v>
      </c>
      <c r="F103" s="9"/>
      <c r="G103" s="10"/>
      <c r="H103" s="9"/>
      <c r="I103" s="9"/>
      <c r="J103" s="11" t="n">
        <f aca="false">MAX(MIN(C42/(C42+C22+C30+1.365*J102+0.2116*C31),0.99),0.01)</f>
        <v>0.725487323816731</v>
      </c>
      <c r="K103" s="9"/>
    </row>
    <row r="104" customFormat="false" ht="27.6" hidden="false" customHeight="false" outlineLevel="0" collapsed="false">
      <c r="A104" s="7"/>
      <c r="B104" s="8" t="s">
        <v>145</v>
      </c>
      <c r="C104" s="44" t="n">
        <f aca="false">IFERROR(1.975*C99/C98,0)</f>
        <v>1.60372965615558E-006</v>
      </c>
      <c r="D104" s="45" t="s">
        <v>67</v>
      </c>
      <c r="E104" s="9"/>
      <c r="F104" s="9" t="s">
        <v>146</v>
      </c>
      <c r="G104" s="10"/>
      <c r="H104" s="9"/>
      <c r="I104" s="9"/>
      <c r="J104" s="11" t="n">
        <f aca="false">MAX(MIN(J103-(PI()*(1+0.82/C19)*J93)^2/3-J95/MAX(C44*C43,0.001)-C23*C43/MAX(C44,0.001),0.99),0.01)</f>
        <v>0.704048725604548</v>
      </c>
      <c r="K104" s="9"/>
    </row>
    <row r="105" customFormat="false" ht="15" hidden="false" customHeight="false" outlineLevel="0" collapsed="false">
      <c r="A105" s="7"/>
      <c r="B105" s="8" t="s">
        <v>147</v>
      </c>
      <c r="C105" s="44" t="n">
        <f aca="false">C104*1000000</f>
        <v>1.60372965615558</v>
      </c>
      <c r="D105" s="45" t="s">
        <v>70</v>
      </c>
      <c r="E105" s="9" t="str">
        <f aca="false">IFERROR(IF(ISNUMBER(C105),TEXT(10^INT(LOG10(ABS(C105)+1E-030))*CHOOSE(MATCH(C105/10^INT(LOG10(ABS(C105)+1E-030)),{0,1.0488,1.1489,1.249,1.3964,1.5492,1.6971,1.8974,2.0976,2.2978,2.5456,2.846,3.1464,3.4467,3.747,4.0951,4.4956,4.8959,5.3442,5.8924,6.4931,7.1414,7.8422,8.6383,9.5394},1),1,1.1,1.2,1.3,1.5,1.6,1.8,2,2.2,2.4,2.7,3,3.3,3.6,3.9,4.3,4.7,5.1,5.6,6.2,6.8,7.5,8.2,9.1,10),"0.##")&amp;" "&amp;D105,C105),"—")</f>
        <v>1.6 µH</v>
      </c>
      <c r="F105" s="9"/>
      <c r="G105" s="10"/>
      <c r="H105" s="9"/>
      <c r="I105" s="9"/>
      <c r="J105" s="11" t="n">
        <f aca="false">J100</f>
        <v>102.39269491865</v>
      </c>
      <c r="K105" s="9"/>
    </row>
    <row r="106" customFormat="false" ht="27.6" hidden="false" customHeight="false" outlineLevel="0" collapsed="false">
      <c r="A106" s="7"/>
      <c r="B106" s="7" t="s">
        <v>148</v>
      </c>
      <c r="C106" s="44" t="n">
        <f aca="false">1.3712/(C99*C98)</f>
        <v>4.45373995852259E-010</v>
      </c>
      <c r="D106" s="45" t="s">
        <v>62</v>
      </c>
      <c r="E106" s="9"/>
      <c r="F106" s="9" t="s">
        <v>149</v>
      </c>
      <c r="G106" s="10"/>
      <c r="H106" s="10"/>
      <c r="I106" s="9"/>
      <c r="J106" s="11"/>
      <c r="K106" s="9"/>
    </row>
    <row r="107" customFormat="false" ht="15" hidden="false" customHeight="false" outlineLevel="0" collapsed="false">
      <c r="A107" s="7"/>
      <c r="B107" s="7" t="s">
        <v>150</v>
      </c>
      <c r="C107" s="44" t="n">
        <f aca="false">C106*1000000000000</f>
        <v>445.373995852259</v>
      </c>
      <c r="D107" s="45" t="s">
        <v>30</v>
      </c>
      <c r="E107" s="9" t="str">
        <f aca="false">IFERROR(IF(ISNUMBER(C107),TEXT(10^INT(LOG10(ABS(C107)+1E-030))*CHOOSE(MATCH(C107/10^INT(LOG10(ABS(C107)+1E-030)),{0,1.0488,1.1489,1.249,1.3964,1.5492,1.6971,1.8974,2.0976,2.2978,2.5456,2.846,3.1464,3.4467,3.747,4.0951,4.4956,4.8959,5.3442,5.8924,6.4931,7.1414,7.8422,8.6383,9.5394},1),1,1.1,1.2,1.3,1.5,1.6,1.8,2,2.2,2.4,2.7,3,3.3,3.6,3.9,4.3,4.7,5.1,5.6,6.2,6.8,7.5,8.2,9.1,10),"0.##")&amp;" "&amp;D107,C107),"—")</f>
        <v>430 pF</v>
      </c>
      <c r="F107" s="9"/>
      <c r="G107" s="10"/>
      <c r="H107" s="10"/>
      <c r="I107" s="9"/>
      <c r="J107" s="11"/>
      <c r="K107" s="9"/>
    </row>
    <row r="108" customFormat="false" ht="92.9" hidden="false" customHeight="false" outlineLevel="0" collapsed="false">
      <c r="A108" s="7"/>
      <c r="B108" s="7" t="s">
        <v>151</v>
      </c>
      <c r="C108" s="44" t="n">
        <f aca="false">IFERROR(1.1468*C99/C98,0)</f>
        <v>9.31218820090743E-007</v>
      </c>
      <c r="D108" s="45" t="s">
        <v>67</v>
      </c>
      <c r="E108" s="9"/>
      <c r="F108" s="9" t="s">
        <v>152</v>
      </c>
      <c r="G108" s="10"/>
      <c r="H108" s="10"/>
      <c r="I108" s="9"/>
      <c r="J108" s="11"/>
      <c r="K108" s="9"/>
    </row>
    <row r="109" customFormat="false" ht="15" hidden="false" customHeight="false" outlineLevel="0" collapsed="false">
      <c r="A109" s="7"/>
      <c r="B109" s="7" t="s">
        <v>153</v>
      </c>
      <c r="C109" s="44" t="n">
        <f aca="false">C108*1000000</f>
        <v>0.931218820090743</v>
      </c>
      <c r="D109" s="45" t="s">
        <v>70</v>
      </c>
      <c r="E109" s="9" t="str">
        <f aca="false">IFERROR(IF(ISNUMBER(C109),TEXT(10^INT(LOG10(ABS(C109)+1E-030))*CHOOSE(MATCH(C109/10^INT(LOG10(ABS(C109)+1E-030)),{0,1.0488,1.1489,1.249,1.3964,1.5492,1.6971,1.8974,2.0976,2.2978,2.5456,2.846,3.1464,3.4467,3.747,4.0951,4.4956,4.8959,5.3442,5.8924,6.4931,7.1414,7.8422,8.6383,9.5394},1),1,1.1,1.2,1.3,1.5,1.6,1.8,2,2.2,2.4,2.7,3,3.3,3.6,3.9,4.3,4.7,5.1,5.6,6.2,6.8,7.5,8.2,9.1,10),"0.##")&amp;" "&amp;D109,C109),"—")</f>
        <v>0.91 µH</v>
      </c>
      <c r="F109" s="9"/>
      <c r="G109" s="10"/>
      <c r="H109" s="10"/>
      <c r="I109" s="9"/>
      <c r="J109" s="11"/>
      <c r="K109" s="9"/>
    </row>
    <row r="110" customFormat="false" ht="66.75" hidden="false" customHeight="false" outlineLevel="0" collapsed="false">
      <c r="A110" s="7"/>
      <c r="B110" s="8" t="s">
        <v>154</v>
      </c>
      <c r="C110" s="44" t="n">
        <f aca="false">-10*LOG10((1+(10^(0.1/10)-1)*(16*(2*C18/C97)^5-20*(2*C18/C97)^3+5*(2*C18/C97))^2)/(1+(10^(0.1/10)-1)*(16*(C18/C97)^5-20*(C18/C97)^3+5*(C18/C97))^2))</f>
        <v>-16.5874077706108</v>
      </c>
      <c r="D110" s="45" t="s">
        <v>155</v>
      </c>
      <c r="E110" s="9" t="str">
        <f aca="false">IF(-10*LOG10((1+(10^(0.1/10)-1)*(4*(2*C18/C97)^3-3*(2*C18/C97))^2)/(1+(10^(0.1/10)-1)*(4*(C18/C97)^3-3*(C18/C97))^2))&lt;=-50,"3 poles min for −50 dBc at 2f",IF(-10*LOG10((1+(10^(0.1/10)-1)*(8*(2*C18/C97)^4-8*(2*C18/C97)^2+1)^2)/(1+(10^(0.1/10)-1)*(8*(C18/C97)^4-8*(C18/C97)^2+1)^2))&lt;=-50,"4 poles min for −50 dBc at 2f",IF(-10*LOG10((1+(10^(0.1/10)-1)*(16*(2*C18/C97)^5-20*(2*C18/C97)^3+5*(2*C18/C97))^2)/(1+(10^(0.1/10)-1)*(16*(C18/C97)^5-20*(C18/C97)^3+5*(C18/C97))^2))&lt;=-50,"5 poles min for −50 dBc at 2f",IF(-10*LOG10((1+(10^(0.1/10)-1)*(32*(2*C18/C97)^6-48*(2*C18/C97)^4+18*(2*C18/C97)^2-1)^2)/(1+(10^(0.1/10)-1)*(32*(C18/C97)^6-48*(C18/C97)^4+18*(C18/C97)^2-1)^2))&lt;=-50,"6 poles min for −50 dBc at 2f",IF(-10*LOG10((1+(10^(0.1/10)-1)*(64*(2*C18/C97)^7-112*(2*C18/C97)^5+56*(2*C18/C97)^3-7*(2*C18/C97))^2)/(1+(10^(0.1/10)-1)*(64*(C18/C97)^7-112*(C18/C97)^5+56*(C18/C97)^3-7*(C18/C97))^2))&lt;=-50,"7 poles min for −50 dBc at 2f",IF(-10*LOG10((1+(10^(0.1/10)-1)*(128*(2*C18/C97)^8-256*(2*C18/C97)^6+160*(2*C18/C97)^4-32*(2*C18/C97)^2+1)^2)/(1+(10^(0.1/10)-1)*(128*(C18/C97)^8-256*(C18/C97)^6+160*(C18/C97)^4-32*(C18/C97)^2+1)^2))&lt;=-50,"8 poles min for −50 dBc at 2f","9+ poles required for −50 dBc at 2f"))))))</f>
        <v>9+ poles required for −50 dBc at 2f</v>
      </c>
      <c r="F110" s="9" t="str">
        <f aca="false">IF(C110&lt;-50,"✅ "&amp;TEXT(ABS(C110),"0.0")&amp;" dBc at 2f — meets IARU recommendation (−50 dBc) and FCC §97.307 (−43 dBc). ⚠ 50Ω SOURCE ASSUMPTION: These attenuation figures are valid only when the LPF is driven from a 50Ω resistive source. The Class-E drain impedance is not 50Ω (typically R_opt = 5–20Ω + reactive). Even with an L-network in place, residual source reactance can shift 2nd-harmonic attenuation by ±10–20 dB from the calculated figure. For regulatory compliance (IARU −50 dBc / FCC §97.307 −43 dBc), always verify via LTspice simulation with the actual drain impedance as source, or measure directly with a spectrum analyser. Treat these values as a first-order design guide only.","⚠ "&amp;TEXT(ABS(C110),"0.0")&amp;" dBc at 2f — insufficient for IARU (−50 dBc required). Increase filter order or lower fc.")</f>
        <v>⚠ 16.6 dBc at 2f — insufficient for IARU (−50 dBc required). Increase filter order or lower fc.</v>
      </c>
      <c r="G110" s="10"/>
      <c r="H110" s="9" t="str">
        <f aca="false">IF(ISNUMBER(C110),"⚠ THEORETICAL VALUE — assumes 50Ω source. Actual rejection may be 10–20 dB lower. Worst-case estimate: "&amp;TEXT(C110+15,"0.0")&amp;" dBc. "&amp;IF(C110+15&gt;-50,"🚨 Worst-case may not meet −50 dBc IARU. Verify with spectrum analyser before regulatory submission.",IF(C110+15&gt;-43,"⚠ Worst-case margin over FCC −43 dBc is limited. Measure before submission.","✅ Even worst-case estimate meets −43 dBc FCC. Verify with spectrum analyser.")),"—")</f>
        <v>⚠ THEORETICAL VALUE — assumes 50Ω source. Actual rejection may be 10–20 dB lower. Worst-case estimate: -1.6 dBc. 🚨 Worst-case may not meet −50 dBc IARU. Verify with spectrum analyser before regulatory submission.</v>
      </c>
      <c r="I110" s="9"/>
      <c r="J110" s="11"/>
      <c r="K110" s="9"/>
    </row>
    <row r="111" customFormat="false" ht="40.5" hidden="false" customHeight="false" outlineLevel="0" collapsed="false">
      <c r="A111" s="7"/>
      <c r="B111" s="8" t="s">
        <v>156</v>
      </c>
      <c r="C111" s="44" t="n">
        <f aca="false">-10*LOG10((1+(10^(0.1/10)-1)*(16*(3*C18/C97)^5-20*(3*C18/C97)^3+5*(3*C18/C97))^2)/(1+(10^(0.1/10)-1)*(16*(C18/C97)^5-20*(C18/C97)^3+5*(C18/C97))^2))</f>
        <v>-38.2143276045362</v>
      </c>
      <c r="D111" s="45" t="s">
        <v>155</v>
      </c>
      <c r="E111" s="9" t="str">
        <f aca="false">IF(-10*LOG10((1+(10^(0.1/10)-1)*(4*(3*C18/C97)^3-3*(3*C18/C97))^2)/(1+(10^(0.1/10)-1)*(4*(C18/C97)^3-3*(C18/C97))^2))&lt;=-50,"3 poles min for −50 dBc at 3f",IF(-10*LOG10((1+(10^(0.1/10)-1)*(8*(3*C18/C97)^4-8*(3*C18/C97)^2+1)^2)/(1+(10^(0.1/10)-1)*(8*(C18/C97)^4-8*(C18/C97)^2+1)^2))&lt;=-50,"4 poles min for −50 dBc at 3f",IF(-10*LOG10((1+(10^(0.1/10)-1)*(16*(3*C18/C97)^5-20*(3*C18/C97)^3+5*(3*C18/C97))^2)/(1+(10^(0.1/10)-1)*(16*(C18/C97)^5-20*(C18/C97)^3+5*(C18/C97))^2))&lt;=-50,"5 poles min for −50 dBc at 3f",IF(-10*LOG10((1+(10^(0.1/10)-1)*(32*(3*C18/C97)^6-48*(3*C18/C97)^4+18*(3*C18/C97)^2-1)^2)/(1+(10^(0.1/10)-1)*(32*(C18/C97)^6-48*(C18/C97)^4+18*(C18/C97)^2-1)^2))&lt;=-50,"6 poles min for −50 dBc at 3f",IF(-10*LOG10((1+(10^(0.1/10)-1)*(64*(3*C18/C97)^7-112*(3*C18/C97)^5+56*(3*C18/C97)^3-7*(3*C18/C97))^2)/(1+(10^(0.1/10)-1)*(64*(C18/C97)^7-112*(C18/C97)^5+56*(C18/C97)^3-7*(C18/C97))^2))&lt;=-50,"7 poles min for −50 dBc at 3f",IF(-10*LOG10((1+(10^(0.1/10)-1)*(128*(3*C18/C97)^8-256*(3*C18/C97)^6+160*(3*C18/C97)^4-32*(3*C18/C97)^2+1)^2)/(1+(10^(0.1/10)-1)*(128*(C18/C97)^8-256*(C18/C97)^6+160*(C18/C97)^4-32*(C18/C97)^2+1)^2))&lt;=-50,"8 poles min for −50 dBc at 3f","9+ poles required for −50 dBc at 3f"))))))</f>
        <v>6 poles min for −50 dBc at 3f</v>
      </c>
      <c r="F111" s="9" t="str">
        <f aca="false">IF(C111&lt;-50,"✅ "&amp;TEXT(ABS(C111),"0.0")&amp;" dBc at 3f — meets IARU recommendation (−50 dBc) and FCC §97.307. ⚠ 50Ω SOURCE ASSUMPTION: Actual 3f attenuation may differ by ±10–20 dB when source impedance ≠ 50Ω. Verify with LTspice or spectrum analyser.","⚠ "&amp;TEXT(ABS(C111),"0.0")&amp;" dBc at 3f — add filter poles. ⚠ 50Ω SOURCE ASSUMPTION: Actual attenuation differs when Class-E drain impedance is the source. Verify with LTspice or spectrum analyser before regulatory submission.")</f>
        <v>⚠ 38.2 dBc at 3f — add filter poles. ⚠ 50Ω SOURCE ASSUMPTION: Actual attenuation differs when Class-E drain impedance is the source. Verify with LTspice or spectrum analyser before regulatory submission.</v>
      </c>
      <c r="G111" s="10"/>
      <c r="H111" s="9"/>
      <c r="I111" s="9"/>
      <c r="J111" s="11"/>
      <c r="K111" s="9"/>
    </row>
    <row r="112" customFormat="false" ht="79.5" hidden="false" customHeight="false" outlineLevel="0" collapsed="false">
      <c r="A112" s="7"/>
      <c r="B112" s="8" t="s">
        <v>157</v>
      </c>
      <c r="C112" s="44"/>
      <c r="D112" s="7"/>
      <c r="E112" s="9"/>
      <c r="F112" s="9" t="str">
        <f aca="false">IF(C65&lt;0.01,IF(ABS(C42-C99)/MAX(C99,0.001)&lt;0.05,"✅ R_opt≈Z_load≈"&amp;TEXT(C99,"0")&amp;"Ω — no L-network needed and LPF is VALID (source = R_opt = Z0 = "&amp;TEXT(ROUND(C99,0),"0")&amp;"Ω). No impedance mismatch.","🚨 LPF SOURCE MISMATCH: No L-network and R_drain ("&amp;TEXT(C42,"0.0")&amp;"Ω) ≠ "&amp;TEXT(C99,"0")&amp;"Ω LPF reference. LPF attenuation values INVALID for this source impedance. Use LPF Direct sheets for direct-drain connection, or add L-network."),"✅ L-network active (Q_match="&amp;TEXT(C65,"0.00")&amp;"×) — LPF source ≈ "&amp;TEXT(C99,"0")&amp;"Ω. Attenuation formulas assume ideal "&amp;TEXT(C99,"0")&amp;"Ω resistive source. Actual drain impedance after L-network retains residual reactance — actual harmonic rejection may differ by ±2–6 dB from calculated values. Conservative budget: subtract 3 dB from displayed figures. For regulatory compliance (IARU −50 dBc / FCC §97.307 −43 dBc), verify with LTspice using actual R_opt+jX drain impedance as source.")</f>
        <v>✅ L-network active (Q_match=0.74×) — LPF source ≈ 50Ω. Attenuation formulas assume ideal 50Ω resistive source. Actual drain impedance after L-network retains residual reactance — actual harmonic rejection may differ by ±2–6 dB from calculated values. Conservative budget: subtract 3 dB from displayed figures. For regulatory compliance (IARU −50 dBc / FCC §97.307 −43 dBc), verify with LTspice using actual R_opt+jX drain impedance as source.</v>
      </c>
      <c r="G112" s="10"/>
      <c r="H112" s="9"/>
      <c r="I112" s="9"/>
      <c r="J112" s="11"/>
      <c r="K112" s="9"/>
    </row>
    <row r="113" customFormat="false" ht="15" hidden="false" customHeight="false" outlineLevel="0" collapsed="false">
      <c r="A113" s="7"/>
      <c r="B113" s="7"/>
      <c r="C113" s="8"/>
      <c r="D113" s="7"/>
      <c r="E113" s="9"/>
      <c r="F113" s="10"/>
      <c r="G113" s="10"/>
      <c r="H113" s="9"/>
      <c r="I113" s="9"/>
      <c r="J113" s="11"/>
      <c r="K113" s="9"/>
    </row>
    <row r="114" customFormat="false" ht="15" hidden="false" customHeight="false" outlineLevel="0" collapsed="false">
      <c r="A114" s="7"/>
      <c r="B114" s="46" t="s">
        <v>158</v>
      </c>
      <c r="C114" s="8"/>
      <c r="D114" s="7"/>
      <c r="E114" s="9"/>
      <c r="F114" s="10"/>
      <c r="G114" s="10"/>
      <c r="H114" s="9"/>
      <c r="I114" s="9"/>
      <c r="J114" s="11"/>
      <c r="K114" s="9"/>
    </row>
    <row r="115" customFormat="false" ht="15" hidden="false" customHeight="false" outlineLevel="0" collapsed="false">
      <c r="A115" s="7"/>
      <c r="B115" s="10" t="s">
        <v>159</v>
      </c>
      <c r="C115" s="9"/>
      <c r="D115" s="10"/>
      <c r="E115" s="9"/>
      <c r="F115" s="10"/>
      <c r="G115" s="10"/>
      <c r="H115" s="9"/>
      <c r="I115" s="9"/>
      <c r="J115" s="11"/>
      <c r="K115" s="9"/>
    </row>
    <row r="116" customFormat="false" ht="15" hidden="false" customHeight="false" outlineLevel="0" collapsed="false">
      <c r="A116" s="7"/>
      <c r="B116" s="10" t="s">
        <v>160</v>
      </c>
      <c r="C116" s="9"/>
      <c r="D116" s="10"/>
      <c r="E116" s="9"/>
      <c r="F116" s="10"/>
      <c r="G116" s="10"/>
      <c r="H116" s="9"/>
      <c r="I116" s="9"/>
      <c r="J116" s="11"/>
      <c r="K116" s="9"/>
    </row>
    <row r="117" customFormat="false" ht="15" hidden="false" customHeight="false" outlineLevel="0" collapsed="false">
      <c r="A117" s="7"/>
      <c r="B117" s="10" t="s">
        <v>161</v>
      </c>
      <c r="C117" s="9"/>
      <c r="D117" s="10"/>
      <c r="E117" s="9"/>
      <c r="F117" s="10"/>
      <c r="G117" s="10"/>
      <c r="H117" s="9"/>
      <c r="I117" s="9"/>
      <c r="J117" s="11"/>
      <c r="K117" s="9"/>
    </row>
    <row r="118" customFormat="false" ht="15" hidden="false" customHeight="false" outlineLevel="0" collapsed="false">
      <c r="A118" s="7"/>
      <c r="B118" s="10" t="s">
        <v>162</v>
      </c>
      <c r="C118" s="9"/>
      <c r="D118" s="10"/>
      <c r="E118" s="9"/>
      <c r="F118" s="10"/>
      <c r="G118" s="10"/>
      <c r="H118" s="9"/>
      <c r="I118" s="9"/>
      <c r="J118" s="11"/>
      <c r="K118" s="9"/>
    </row>
    <row r="119" customFormat="false" ht="15" hidden="false" customHeight="false" outlineLevel="0" collapsed="false">
      <c r="A119" s="7"/>
      <c r="B119" s="10" t="s">
        <v>163</v>
      </c>
      <c r="C119" s="9"/>
      <c r="D119" s="10"/>
      <c r="E119" s="9"/>
      <c r="F119" s="10"/>
      <c r="G119" s="10"/>
      <c r="H119" s="9"/>
      <c r="I119" s="9"/>
      <c r="J119" s="11"/>
      <c r="K119" s="9"/>
    </row>
    <row r="120" customFormat="false" ht="15" hidden="false" customHeight="false" outlineLevel="0" collapsed="false">
      <c r="A120" s="7"/>
      <c r="B120" s="10" t="s">
        <v>164</v>
      </c>
      <c r="C120" s="9"/>
      <c r="D120" s="10"/>
      <c r="E120" s="9"/>
      <c r="F120" s="10"/>
      <c r="G120" s="10"/>
      <c r="H120" s="9"/>
      <c r="I120" s="9"/>
      <c r="J120" s="11"/>
      <c r="K120" s="9"/>
    </row>
    <row r="121" customFormat="false" ht="15" hidden="false" customHeight="false" outlineLevel="0" collapsed="false">
      <c r="A121" s="7"/>
      <c r="B121" s="10" t="s">
        <v>165</v>
      </c>
      <c r="C121" s="9"/>
      <c r="D121" s="10"/>
      <c r="E121" s="9"/>
      <c r="F121" s="10"/>
      <c r="G121" s="10"/>
      <c r="H121" s="9"/>
      <c r="I121" s="9"/>
      <c r="J121" s="11"/>
      <c r="K121" s="9"/>
    </row>
    <row r="122" customFormat="false" ht="15" hidden="false" customHeight="false" outlineLevel="0" collapsed="false">
      <c r="A122" s="7"/>
      <c r="B122" s="10" t="s">
        <v>166</v>
      </c>
      <c r="C122" s="9"/>
      <c r="D122" s="10"/>
      <c r="E122" s="9"/>
      <c r="F122" s="10"/>
      <c r="G122" s="10"/>
      <c r="H122" s="9"/>
      <c r="I122" s="9"/>
      <c r="J122" s="11"/>
      <c r="K122" s="9"/>
    </row>
    <row r="123" customFormat="false" ht="15" hidden="false" customHeight="false" outlineLevel="0" collapsed="false">
      <c r="A123" s="7"/>
      <c r="B123" s="10" t="s">
        <v>167</v>
      </c>
      <c r="C123" s="9"/>
      <c r="D123" s="10"/>
      <c r="E123" s="9"/>
      <c r="F123" s="10"/>
      <c r="G123" s="10"/>
      <c r="H123" s="9"/>
      <c r="I123" s="9"/>
      <c r="J123" s="11"/>
      <c r="K123" s="9"/>
    </row>
    <row r="124" customFormat="false" ht="15" hidden="false" customHeight="false" outlineLevel="0" collapsed="false">
      <c r="A124" s="7"/>
      <c r="B124" s="10" t="s">
        <v>168</v>
      </c>
      <c r="C124" s="9"/>
      <c r="D124" s="10"/>
      <c r="E124" s="9"/>
      <c r="F124" s="10"/>
      <c r="G124" s="10"/>
      <c r="H124" s="9"/>
      <c r="I124" s="9"/>
      <c r="J124" s="11"/>
      <c r="K124" s="9"/>
    </row>
    <row r="125" customFormat="false" ht="15" hidden="false" customHeight="false" outlineLevel="0" collapsed="false">
      <c r="A125" s="7"/>
      <c r="B125" s="10" t="s">
        <v>169</v>
      </c>
      <c r="C125" s="9"/>
      <c r="D125" s="10"/>
      <c r="E125" s="9"/>
      <c r="F125" s="10"/>
      <c r="G125" s="10"/>
      <c r="H125" s="9"/>
      <c r="I125" s="9"/>
      <c r="J125" s="11"/>
      <c r="K125" s="9"/>
    </row>
    <row r="126" customFormat="false" ht="15" hidden="false" customHeight="false" outlineLevel="0" collapsed="false">
      <c r="A126" s="7"/>
      <c r="B126" s="10" t="s">
        <v>170</v>
      </c>
      <c r="C126" s="9"/>
      <c r="D126" s="10"/>
      <c r="E126" s="9"/>
      <c r="F126" s="10"/>
      <c r="G126" s="10"/>
      <c r="H126" s="9"/>
      <c r="I126" s="9"/>
      <c r="J126" s="11"/>
      <c r="K126" s="9"/>
    </row>
    <row r="127" customFormat="false" ht="15" hidden="false" customHeight="false" outlineLevel="0" collapsed="false">
      <c r="A127" s="7"/>
      <c r="B127" s="47"/>
      <c r="C127" s="8"/>
      <c r="D127" s="7"/>
      <c r="E127" s="9"/>
      <c r="F127" s="10"/>
      <c r="G127" s="10"/>
      <c r="H127" s="9"/>
      <c r="I127" s="9"/>
      <c r="J127" s="11"/>
      <c r="K127" s="9"/>
    </row>
    <row r="128" customFormat="false" ht="15" hidden="false" customHeight="false" outlineLevel="0" collapsed="false">
      <c r="B128" s="48"/>
    </row>
    <row r="129" customFormat="false" ht="15" hidden="false" customHeight="false" outlineLevel="0" collapsed="false">
      <c r="B129" s="48"/>
    </row>
    <row r="130" customFormat="false" ht="15" hidden="false" customHeight="false" outlineLevel="0" collapsed="false">
      <c r="B130" s="48"/>
    </row>
    <row r="133" customFormat="false" ht="15" hidden="false" customHeight="false" outlineLevel="0" collapsed="false">
      <c r="B133" s="2"/>
    </row>
  </sheetData>
  <dataValidations count="2">
    <dataValidation allowBlank="true" error="Please select a MOSFET from the list." errorStyle="stop" errorTitle="Invalid Entry" operator="between" showDropDown="false" showErrorMessage="true" showInputMessage="false" sqref="B9" type="list">
      <formula1>'MOSFET Reference Table'!$A$4:$A$19</formula1>
      <formula2>0</formula2>
    </dataValidation>
    <dataValidation allowBlank="false" error="All Sokal Class-E equations are derived for D=50% only. Changing duty cycle requires a completely different equation set (Kazimierczuk &amp; Puczko 1987). Value has been reset." errorStyle="stop" errorTitle="Duty Cycle Locked" operator="equal" prompt="Sokal equations are valid ONLY for 50% duty cycle. Do not change this value." promptTitle="D = 0.5 Required" showDropDown="false" showErrorMessage="true" showInputMessage="true" sqref="C25" type="decimal">
      <formula1>0.5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1"/>
  <sheetViews>
    <sheetView showFormulas="false" showGridLines="true" showRowColHeaders="true" showZeros="true" rightToLeft="false" tabSelected="false" showOutlineSymbols="true" defaultGridColor="true" view="normal" topLeftCell="A1" colorId="64" zoomScale="200" zoomScaleNormal="200" zoomScalePageLayoutView="100" workbookViewId="0">
      <selection pane="topLeft" activeCell="F43" activeCellId="0" sqref="F43"/>
    </sheetView>
  </sheetViews>
  <sheetFormatPr defaultColWidth="8.6796875" defaultRowHeight="15" customHeight="false" zeroHeight="false" outlineLevelRow="0" outlineLevelCol="0"/>
  <cols>
    <col collapsed="false" customWidth="true" hidden="false" outlineLevel="0" max="1" min="1" style="49" width="2.55"/>
    <col collapsed="false" customWidth="true" hidden="false" outlineLevel="0" max="2" min="2" style="49" width="81.39"/>
    <col collapsed="false" customWidth="true" hidden="false" outlineLevel="0" max="3" min="3" style="49" width="16.01"/>
    <col collapsed="false" customWidth="true" hidden="false" outlineLevel="0" max="4" min="4" style="50" width="6.39"/>
    <col collapsed="false" customWidth="true" hidden="false" outlineLevel="0" max="5" min="5" style="49" width="11.53"/>
    <col collapsed="false" customWidth="true" hidden="false" outlineLevel="0" max="6" min="6" style="49" width="42.43"/>
    <col collapsed="false" customWidth="true" hidden="false" outlineLevel="0" max="7" min="7" style="49" width="9.57"/>
    <col collapsed="false" customWidth="true" hidden="false" outlineLevel="0" max="8" min="8" style="49" width="42.57"/>
    <col collapsed="false" customWidth="true" hidden="false" outlineLevel="0" max="9" min="9" style="49" width="28.52"/>
    <col collapsed="false" customWidth="true" hidden="false" outlineLevel="0" max="10" min="10" style="0" width="2.55"/>
    <col collapsed="false" customWidth="false" hidden="false" outlineLevel="0" max="16382" min="12" style="49" width="8.68"/>
    <col collapsed="false" customWidth="true" hidden="false" outlineLevel="0" max="16384" min="16383" style="49" width="11.53"/>
  </cols>
  <sheetData>
    <row r="1" customFormat="false" ht="15" hidden="false" customHeight="false" outlineLevel="0" collapsed="false">
      <c r="A1" s="51"/>
      <c r="B1" s="51"/>
      <c r="C1" s="51"/>
      <c r="D1" s="52"/>
      <c r="E1" s="51"/>
      <c r="F1" s="51"/>
      <c r="G1" s="51"/>
      <c r="H1" s="51"/>
      <c r="I1" s="51"/>
      <c r="J1" s="53"/>
    </row>
    <row r="2" customFormat="false" ht="15.65" hidden="false" customHeight="false" outlineLevel="0" collapsed="false">
      <c r="A2" s="51"/>
      <c r="B2" s="54" t="s">
        <v>171</v>
      </c>
      <c r="C2" s="51"/>
      <c r="D2" s="52"/>
      <c r="E2" s="51"/>
      <c r="F2" s="51"/>
      <c r="G2" s="51"/>
      <c r="H2" s="51"/>
      <c r="I2" s="51"/>
      <c r="J2" s="53"/>
    </row>
    <row r="3" customFormat="false" ht="15" hidden="false" customHeight="false" outlineLevel="0" collapsed="false">
      <c r="A3" s="51"/>
      <c r="B3" s="54"/>
      <c r="C3" s="51"/>
      <c r="D3" s="52"/>
      <c r="E3" s="51"/>
      <c r="F3" s="51"/>
      <c r="G3" s="51"/>
      <c r="H3" s="51"/>
      <c r="I3" s="51"/>
      <c r="J3" s="53"/>
    </row>
    <row r="4" customFormat="false" ht="23.1" hidden="false" customHeight="false" outlineLevel="0" collapsed="false">
      <c r="A4" s="51"/>
      <c r="B4" s="55" t="s">
        <v>172</v>
      </c>
      <c r="C4" s="51"/>
      <c r="D4" s="52"/>
      <c r="E4" s="51"/>
      <c r="F4" s="51"/>
      <c r="G4" s="51"/>
      <c r="H4" s="51"/>
      <c r="I4" s="51"/>
      <c r="J4" s="53"/>
    </row>
    <row r="5" customFormat="false" ht="15" hidden="false" customHeight="false" outlineLevel="0" collapsed="false">
      <c r="A5" s="51"/>
      <c r="B5" s="56" t="s">
        <v>2</v>
      </c>
      <c r="C5" s="51"/>
      <c r="D5" s="52"/>
      <c r="E5" s="51"/>
      <c r="F5" s="51"/>
      <c r="G5" s="51"/>
      <c r="H5" s="51"/>
      <c r="I5" s="51"/>
      <c r="J5" s="53"/>
    </row>
    <row r="6" customFormat="false" ht="15" hidden="false" customHeight="false" outlineLevel="0" collapsed="false">
      <c r="A6" s="51"/>
      <c r="B6" s="51"/>
      <c r="C6" s="51"/>
      <c r="D6" s="52"/>
      <c r="E6" s="51"/>
      <c r="F6" s="51"/>
      <c r="G6" s="51"/>
      <c r="H6" s="51"/>
      <c r="I6" s="51"/>
      <c r="J6" s="53"/>
    </row>
    <row r="7" customFormat="false" ht="87.65" hidden="false" customHeight="false" outlineLevel="0" collapsed="false">
      <c r="A7" s="51"/>
      <c r="B7" s="57" t="s">
        <v>173</v>
      </c>
      <c r="C7" s="51"/>
      <c r="D7" s="52"/>
      <c r="E7" s="51"/>
      <c r="F7" s="51"/>
      <c r="G7" s="51"/>
      <c r="H7" s="51"/>
      <c r="I7" s="51"/>
      <c r="J7" s="53"/>
    </row>
    <row r="8" customFormat="false" ht="15" hidden="false" customHeight="false" outlineLevel="0" collapsed="false">
      <c r="A8" s="51"/>
      <c r="B8" s="51"/>
      <c r="C8" s="51"/>
      <c r="D8" s="52"/>
      <c r="E8" s="51"/>
      <c r="F8" s="51"/>
      <c r="G8" s="51"/>
      <c r="H8" s="51"/>
      <c r="I8" s="51"/>
      <c r="J8" s="53"/>
    </row>
    <row r="9" customFormat="false" ht="15.65" hidden="false" customHeight="false" outlineLevel="0" collapsed="false">
      <c r="A9" s="51"/>
      <c r="B9" s="58" t="s">
        <v>174</v>
      </c>
      <c r="C9" s="51"/>
      <c r="D9" s="52"/>
      <c r="E9" s="51"/>
      <c r="F9" s="51"/>
      <c r="G9" s="51"/>
      <c r="H9" s="51"/>
      <c r="I9" s="51"/>
      <c r="J9" s="53"/>
    </row>
    <row r="10" customFormat="false" ht="15" hidden="false" customHeight="false" outlineLevel="0" collapsed="false">
      <c r="A10" s="51"/>
      <c r="B10" s="42" t="s">
        <v>8</v>
      </c>
      <c r="C10" s="59" t="s">
        <v>9</v>
      </c>
      <c r="D10" s="60" t="s">
        <v>10</v>
      </c>
      <c r="E10" s="61"/>
      <c r="F10" s="60" t="s">
        <v>48</v>
      </c>
      <c r="G10" s="61"/>
      <c r="H10" s="61"/>
      <c r="I10" s="61"/>
      <c r="J10" s="53"/>
    </row>
    <row r="11" customFormat="false" ht="27.6" hidden="false" customHeight="false" outlineLevel="0" collapsed="false">
      <c r="A11" s="51"/>
      <c r="B11" s="8" t="s">
        <v>175</v>
      </c>
      <c r="C11" s="62" t="n">
        <f aca="false">'Class-E Calculator'!C18</f>
        <v>7</v>
      </c>
      <c r="D11" s="63" t="s">
        <v>16</v>
      </c>
      <c r="E11" s="51"/>
      <c r="F11" s="64" t="s">
        <v>176</v>
      </c>
      <c r="G11" s="51"/>
      <c r="H11" s="51"/>
      <c r="I11" s="51"/>
      <c r="J11" s="53"/>
    </row>
    <row r="12" customFormat="false" ht="53.7" hidden="false" customHeight="false" outlineLevel="0" collapsed="false">
      <c r="A12" s="51"/>
      <c r="B12" s="8" t="s">
        <v>177</v>
      </c>
      <c r="C12" s="62" t="n">
        <f aca="false">'Class-E Calculator'!C42</f>
        <v>32.289222500631</v>
      </c>
      <c r="D12" s="63" t="s">
        <v>22</v>
      </c>
      <c r="E12" s="51"/>
      <c r="F12" s="64" t="s">
        <v>178</v>
      </c>
      <c r="G12" s="51"/>
      <c r="H12" s="51"/>
      <c r="I12" s="51"/>
      <c r="J12" s="53"/>
    </row>
    <row r="13" customFormat="false" ht="27.6" hidden="false" customHeight="false" outlineLevel="0" collapsed="false">
      <c r="A13" s="51"/>
      <c r="B13" s="8" t="s">
        <v>179</v>
      </c>
      <c r="C13" s="62" t="n">
        <f aca="false">'Class-E Calculator'!C25</f>
        <v>50</v>
      </c>
      <c r="D13" s="63" t="s">
        <v>22</v>
      </c>
      <c r="E13" s="51"/>
      <c r="F13" s="64" t="s">
        <v>180</v>
      </c>
      <c r="G13" s="51"/>
      <c r="H13" s="51"/>
      <c r="I13" s="51"/>
      <c r="J13" s="53"/>
    </row>
    <row r="14" customFormat="false" ht="27.6" hidden="false" customHeight="false" outlineLevel="0" collapsed="false">
      <c r="A14" s="51"/>
      <c r="B14" s="8" t="s">
        <v>181</v>
      </c>
      <c r="C14" s="62" t="n">
        <f aca="false">'Class-E Calculator'!C16</f>
        <v>5</v>
      </c>
      <c r="D14" s="63" t="s">
        <v>12</v>
      </c>
      <c r="E14" s="51"/>
      <c r="F14" s="64" t="s">
        <v>182</v>
      </c>
      <c r="G14" s="51"/>
      <c r="H14" s="51"/>
      <c r="I14" s="51"/>
      <c r="J14" s="53"/>
    </row>
    <row r="15" customFormat="false" ht="15" hidden="false" customHeight="false" outlineLevel="0" collapsed="false">
      <c r="A15" s="51"/>
      <c r="B15" s="8" t="s">
        <v>183</v>
      </c>
      <c r="C15" s="62" t="n">
        <f aca="false">'Class-E Calculator'!C17</f>
        <v>0.4</v>
      </c>
      <c r="D15" s="63" t="s">
        <v>14</v>
      </c>
      <c r="E15" s="51"/>
      <c r="F15" s="64" t="s">
        <v>184</v>
      </c>
      <c r="G15" s="51"/>
      <c r="H15" s="51"/>
      <c r="I15" s="51"/>
      <c r="J15" s="53"/>
    </row>
    <row r="16" customFormat="false" ht="15" hidden="false" customHeight="false" outlineLevel="0" collapsed="false">
      <c r="A16" s="51"/>
      <c r="B16" s="65"/>
      <c r="C16" s="66"/>
      <c r="D16" s="52"/>
      <c r="E16" s="51"/>
      <c r="F16" s="51"/>
      <c r="G16" s="51"/>
      <c r="H16" s="51"/>
      <c r="I16" s="51"/>
      <c r="J16" s="53"/>
    </row>
    <row r="17" customFormat="false" ht="15.65" hidden="false" customHeight="false" outlineLevel="0" collapsed="false">
      <c r="A17" s="51"/>
      <c r="B17" s="54" t="s">
        <v>47</v>
      </c>
      <c r="C17" s="66"/>
      <c r="D17" s="52"/>
      <c r="E17" s="51"/>
      <c r="F17" s="55" t="str">
        <f aca="false">IF('Class-E Calculator'!C25/'Class-E Calculator'!C42&lt;1.5,"✅ Impedance ratio n&lt;1.5 — direct asymmetric LPF is valid.",IF('Class-E Calculator'!C25/'Class-E Calculator'!C42&lt;=3,"⚠ n="&amp;TEXT('Class-E Calculator'!C25/'Class-E Calculator'!C42,"0.0")&amp;" — Valid range, verify with LTspice.","🚨 n="&amp;TEXT('Class-E Calculator'!C25/'Class-E Calculator'!C42,"0.0")&amp;" — Use L-network + 50Ω LPF on main sheet instead."))</f>
        <v>⚠ n=1.5 — Valid range, verify with LTspice.</v>
      </c>
      <c r="G17" s="51"/>
      <c r="H17" s="51"/>
      <c r="I17" s="51"/>
      <c r="J17" s="53"/>
    </row>
    <row r="18" customFormat="false" ht="15" hidden="false" customHeight="false" outlineLevel="0" collapsed="false">
      <c r="A18" s="51"/>
      <c r="B18" s="42" t="s">
        <v>8</v>
      </c>
      <c r="C18" s="59" t="s">
        <v>9</v>
      </c>
      <c r="D18" s="60" t="s">
        <v>10</v>
      </c>
      <c r="E18" s="60"/>
      <c r="F18" s="60" t="s">
        <v>48</v>
      </c>
      <c r="G18" s="61"/>
      <c r="H18" s="61"/>
      <c r="I18" s="61"/>
      <c r="J18" s="53"/>
    </row>
    <row r="19" customFormat="false" ht="40.65" hidden="false" customHeight="false" outlineLevel="0" collapsed="false">
      <c r="A19" s="51"/>
      <c r="B19" s="8" t="s">
        <v>134</v>
      </c>
      <c r="C19" s="67" t="n">
        <f aca="false">1.4*C11</f>
        <v>9.8</v>
      </c>
      <c r="D19" s="63" t="s">
        <v>16</v>
      </c>
      <c r="E19" s="51"/>
      <c r="F19" s="64" t="s">
        <v>185</v>
      </c>
      <c r="G19" s="51"/>
      <c r="H19" s="51"/>
      <c r="I19" s="51"/>
      <c r="J19" s="53"/>
    </row>
    <row r="20" customFormat="false" ht="15" hidden="false" customHeight="false" outlineLevel="0" collapsed="false">
      <c r="A20" s="51"/>
      <c r="B20" s="8" t="s">
        <v>136</v>
      </c>
      <c r="C20" s="67" t="n">
        <f aca="false">2*PI()*C19*1000000</f>
        <v>61575216.0103599</v>
      </c>
      <c r="D20" s="63" t="s">
        <v>50</v>
      </c>
      <c r="E20" s="51"/>
      <c r="F20" s="51"/>
      <c r="G20" s="51"/>
      <c r="H20" s="51"/>
      <c r="I20" s="51"/>
      <c r="J20" s="53"/>
    </row>
    <row r="21" customFormat="false" ht="53.7" hidden="false" customHeight="false" outlineLevel="0" collapsed="false">
      <c r="A21" s="51"/>
      <c r="B21" s="8" t="s">
        <v>186</v>
      </c>
      <c r="C21" s="67" t="n">
        <f aca="false">IF(NOT(ISNUMBER(C12)),"⚠ R_opt invalid — fix QL on main sheet first",C13/C12)</f>
        <v>1.54850430353419</v>
      </c>
      <c r="D21" s="63" t="s">
        <v>18</v>
      </c>
      <c r="E21" s="51"/>
      <c r="F21" s="64" t="s">
        <v>187</v>
      </c>
      <c r="G21" s="51"/>
      <c r="H21" s="51"/>
      <c r="I21" s="51"/>
      <c r="J21" s="53"/>
    </row>
    <row r="22" customFormat="false" ht="79.85" hidden="false" customHeight="false" outlineLevel="0" collapsed="false">
      <c r="A22" s="51"/>
      <c r="B22" s="8" t="s">
        <v>188</v>
      </c>
      <c r="C22" s="68" t="n">
        <f aca="false">IF(NOT(ISNUMBER(C12)),"⚠ R_opt invalid — fix QL on main sheet first",SQRT(C12*C13))</f>
        <v>40.1803574527598</v>
      </c>
      <c r="D22" s="63" t="s">
        <v>22</v>
      </c>
      <c r="E22" s="51"/>
      <c r="F22" s="64" t="s">
        <v>189</v>
      </c>
      <c r="G22" s="51"/>
      <c r="H22" s="51"/>
      <c r="I22" s="51"/>
      <c r="J22" s="53"/>
    </row>
    <row r="23" customFormat="false" ht="53.7" hidden="false" customHeight="false" outlineLevel="0" collapsed="false">
      <c r="A23" s="51"/>
      <c r="B23" s="8" t="s">
        <v>190</v>
      </c>
      <c r="C23" s="69" t="n">
        <f aca="false">3.562*('Class-E Calculator'!C16-'Class-E Calculator'!C35-'Class-E Calculator'!C20)+'Class-E Calculator'!C20</f>
        <v>17.81</v>
      </c>
      <c r="D23" s="63" t="s">
        <v>12</v>
      </c>
      <c r="E23" s="51"/>
      <c r="F23" s="64" t="s">
        <v>191</v>
      </c>
      <c r="G23" s="51"/>
      <c r="H23" s="51"/>
      <c r="I23" s="51"/>
      <c r="J23" s="53"/>
    </row>
    <row r="24" customFormat="false" ht="40.65" hidden="false" customHeight="false" outlineLevel="0" collapsed="false">
      <c r="A24" s="51"/>
      <c r="B24" s="8" t="s">
        <v>192</v>
      </c>
      <c r="C24" s="68" t="n">
        <f aca="false">SQRT(C15/C13)</f>
        <v>0.0894427190999916</v>
      </c>
      <c r="D24" s="63" t="s">
        <v>55</v>
      </c>
      <c r="E24" s="51"/>
      <c r="F24" s="64" t="s">
        <v>193</v>
      </c>
      <c r="G24" s="51"/>
      <c r="H24" s="51"/>
      <c r="I24" s="51"/>
      <c r="J24" s="53"/>
    </row>
    <row r="25" customFormat="false" ht="15" hidden="false" customHeight="false" outlineLevel="0" collapsed="false">
      <c r="A25" s="51"/>
      <c r="B25" s="65"/>
      <c r="C25" s="66"/>
      <c r="D25" s="52"/>
      <c r="E25" s="51"/>
      <c r="F25" s="51"/>
      <c r="G25" s="51"/>
      <c r="H25" s="51"/>
      <c r="I25" s="51"/>
      <c r="J25" s="53"/>
    </row>
    <row r="26" customFormat="false" ht="29.85" hidden="false" customHeight="false" outlineLevel="0" collapsed="false">
      <c r="A26" s="51"/>
      <c r="B26" s="54" t="s">
        <v>194</v>
      </c>
      <c r="C26" s="66"/>
      <c r="D26" s="52"/>
      <c r="E26" s="51"/>
      <c r="F26" s="70"/>
      <c r="G26" s="51"/>
      <c r="H26" s="51"/>
      <c r="I26" s="51"/>
      <c r="J26" s="53"/>
    </row>
    <row r="27" customFormat="false" ht="15" hidden="false" customHeight="false" outlineLevel="0" collapsed="false">
      <c r="A27" s="51"/>
      <c r="B27" s="42" t="s">
        <v>8</v>
      </c>
      <c r="C27" s="59" t="s">
        <v>9</v>
      </c>
      <c r="D27" s="60" t="s">
        <v>10</v>
      </c>
      <c r="E27" s="60" t="s">
        <v>60</v>
      </c>
      <c r="F27" s="60" t="s">
        <v>48</v>
      </c>
      <c r="G27" s="61"/>
      <c r="H27" s="61"/>
      <c r="I27" s="61"/>
      <c r="J27" s="53"/>
    </row>
    <row r="28" customFormat="false" ht="40.65" hidden="false" customHeight="false" outlineLevel="0" collapsed="false">
      <c r="A28" s="51"/>
      <c r="B28" s="8" t="s">
        <v>195</v>
      </c>
      <c r="C28" s="68" t="n">
        <f aca="false">IF(NOT(ISNUMBER(C12)),"⚠ R_opt invalid — fix QL on main sheet first",IF(ISNUMBER(C21),IF(C21&gt;3,"⚠ n&gt;3: Use L-network + 50Ω LPF",1.1468*C22/C20),"⚠ n invalid"))</f>
        <v>7.48334101159665E-007</v>
      </c>
      <c r="D28" s="63" t="s">
        <v>67</v>
      </c>
      <c r="E28" s="51"/>
      <c r="F28" s="64" t="s">
        <v>196</v>
      </c>
      <c r="G28" s="51"/>
      <c r="H28" s="51"/>
      <c r="I28" s="51"/>
      <c r="J28" s="53"/>
    </row>
    <row r="29" customFormat="false" ht="15" hidden="false" customHeight="false" outlineLevel="0" collapsed="false">
      <c r="A29" s="51"/>
      <c r="B29" s="8" t="s">
        <v>141</v>
      </c>
      <c r="C29" s="68" t="n">
        <f aca="false">IF(ISNUMBER(C28),C28*1000000,C28)</f>
        <v>0.748334101159666</v>
      </c>
      <c r="D29" s="63" t="s">
        <v>70</v>
      </c>
      <c r="E29" s="63" t="str">
        <f aca="false">IFERROR(IF(ISNUMBER(C29),TEXT(10^INT(LOG10(ABS(C29)+1E-030))*CHOOSE(MATCH(C29/10^INT(LOG10(ABS(C29)+1E-030)),{0,1.0488,1.1489,1.249,1.3964,1.5492,1.6971,1.8974,2.0976,2.2978,2.5456,2.846,3.1464,3.4467,3.747,4.0951,4.4956,4.8959,5.3442,5.8924,6.4931,7.1414,7.8422,8.6383,9.5394},1),1,1.1,1.2,1.3,1.5,1.6,1.8,2,2.2,2.4,2.7,3,3.3,3.6,3.9,4.3,4.7,5.1,5.6,6.2,6.8,7.5,8.2,9.1,10),"0.##")&amp;" "&amp;D29,C29),"—")</f>
        <v>0.75 µH</v>
      </c>
      <c r="F29" s="51"/>
      <c r="G29" s="51"/>
      <c r="H29" s="51"/>
      <c r="I29" s="51"/>
      <c r="J29" s="53"/>
    </row>
    <row r="30" customFormat="false" ht="53.7" hidden="false" customHeight="false" outlineLevel="0" collapsed="false">
      <c r="A30" s="51"/>
      <c r="B30" s="8" t="s">
        <v>197</v>
      </c>
      <c r="C30" s="68" t="n">
        <f aca="false">IF(NOT(ISNUMBER(C12)),"⚠ R_opt invalid — fix QL on main sheet first",IF(C21&gt;3,"⚠ n&gt;3: Use L-network + 50Ω LPF",1.3712/(C12*C20)))</f>
        <v>6.8966354925944E-010</v>
      </c>
      <c r="D30" s="63" t="s">
        <v>62</v>
      </c>
      <c r="E30" s="51"/>
      <c r="F30" s="64" t="s">
        <v>198</v>
      </c>
      <c r="G30" s="51"/>
      <c r="H30" s="51"/>
      <c r="I30" s="51"/>
      <c r="J30" s="53"/>
    </row>
    <row r="31" customFormat="false" ht="15" hidden="false" customHeight="false" outlineLevel="0" collapsed="false">
      <c r="A31" s="51"/>
      <c r="B31" s="8" t="s">
        <v>144</v>
      </c>
      <c r="C31" s="68" t="n">
        <f aca="false">IF(ISNUMBER(C30),C30*1000000000000,C30)</f>
        <v>689.66354925944</v>
      </c>
      <c r="D31" s="63" t="s">
        <v>30</v>
      </c>
      <c r="E31" s="63" t="str">
        <f aca="false">IFERROR(IF(ISNUMBER(C31),TEXT(10^INT(LOG10(ABS(C31)+1E-030))*CHOOSE(MATCH(C31/10^INT(LOG10(ABS(C31)+1E-030)),{0,1.0488,1.1489,1.249,1.3964,1.5492,1.6971,1.8974,2.0976,2.2978,2.5456,2.846,3.1464,3.4467,3.747,4.0951,4.4956,4.8959,5.3442,5.8924,6.4931,7.1414,7.8422,8.6383,9.5394},1),1,1.1,1.2,1.3,1.5,1.6,1.8,2,2.2,2.4,2.7,3,3.3,3.6,3.9,4.3,4.7,5.1,5.6,6.2,6.8,7.5,8.2,9.1,10),"0.##")&amp;" "&amp;D31,C31),"—")</f>
        <v>680 pF</v>
      </c>
      <c r="F31" s="51"/>
      <c r="G31" s="51"/>
      <c r="H31" s="51"/>
      <c r="I31" s="51"/>
      <c r="J31" s="53"/>
    </row>
    <row r="32" customFormat="false" ht="27.6" hidden="false" customHeight="false" outlineLevel="0" collapsed="false">
      <c r="A32" s="51"/>
      <c r="B32" s="8" t="s">
        <v>199</v>
      </c>
      <c r="C32" s="68" t="n">
        <f aca="false">IF(NOT(ISNUMBER(C12)),"⚠ R_opt invalid — fix QL on main sheet first",IF(ISNUMBER(C21),IF(C21&gt;3,"⚠ n&gt;3: Use L-network + 50Ω LPF",1.975*C22/C20),"⚠ n invalid"))</f>
        <v>1.28876861683845E-006</v>
      </c>
      <c r="D32" s="63" t="s">
        <v>67</v>
      </c>
      <c r="E32" s="51"/>
      <c r="F32" s="64" t="s">
        <v>200</v>
      </c>
      <c r="G32" s="51"/>
      <c r="H32" s="51"/>
      <c r="I32" s="51"/>
      <c r="J32" s="53"/>
    </row>
    <row r="33" customFormat="false" ht="15" hidden="false" customHeight="false" outlineLevel="0" collapsed="false">
      <c r="A33" s="51"/>
      <c r="B33" s="8" t="s">
        <v>147</v>
      </c>
      <c r="C33" s="68" t="n">
        <f aca="false">IF(ISNUMBER(C32),C32*1000000,C32)</f>
        <v>1.28876861683845</v>
      </c>
      <c r="D33" s="63" t="s">
        <v>70</v>
      </c>
      <c r="E33" s="63" t="str">
        <f aca="false">IFERROR(IF(ISNUMBER(C33),TEXT(10^INT(LOG10(ABS(C33)+1E-030))*CHOOSE(MATCH(C33/10^INT(LOG10(ABS(C33)+1E-030)),{0,1.0488,1.1489,1.249,1.3964,1.5492,1.6971,1.8974,2.0976,2.2978,2.5456,2.846,3.1464,3.4467,3.747,4.0951,4.4956,4.8959,5.3442,5.8924,6.4931,7.1414,7.8422,8.6383,9.5394},1),1,1.1,1.2,1.3,1.5,1.6,1.8,2,2.2,2.4,2.7,3,3.3,3.6,3.9,4.3,4.7,5.1,5.6,6.2,6.8,7.5,8.2,9.1,10),"0.##")&amp;" "&amp;D33,C33),"—")</f>
        <v>1.3 µH</v>
      </c>
      <c r="F33" s="51"/>
      <c r="G33" s="51"/>
      <c r="H33" s="51"/>
      <c r="I33" s="51"/>
      <c r="J33" s="53"/>
    </row>
    <row r="34" customFormat="false" ht="53.7" hidden="false" customHeight="false" outlineLevel="0" collapsed="false">
      <c r="A34" s="51"/>
      <c r="B34" s="8" t="s">
        <v>201</v>
      </c>
      <c r="C34" s="68" t="n">
        <f aca="false">IF(NOT(ISNUMBER(C12)),"⚠ R_opt invalid — fix QL on main sheet first",IF(NOT(ISNUMBER(C21)),"⚠ n invalid",IF(C21&gt;3,"⚠ n&gt;3: Use L-network + 50Ω LPF",1.3712/(C13*C20))))</f>
        <v>4.45373995852259E-010</v>
      </c>
      <c r="D34" s="63" t="s">
        <v>62</v>
      </c>
      <c r="E34" s="51"/>
      <c r="F34" s="64" t="s">
        <v>202</v>
      </c>
      <c r="G34" s="51"/>
      <c r="H34" s="51"/>
      <c r="I34" s="51"/>
      <c r="J34" s="53"/>
    </row>
    <row r="35" customFormat="false" ht="15" hidden="false" customHeight="false" outlineLevel="0" collapsed="false">
      <c r="A35" s="51"/>
      <c r="B35" s="8" t="s">
        <v>150</v>
      </c>
      <c r="C35" s="68" t="n">
        <f aca="false">IF(ISNUMBER(C34),C34*1000000000000,C34)</f>
        <v>445.373995852259</v>
      </c>
      <c r="D35" s="63" t="s">
        <v>30</v>
      </c>
      <c r="E35" s="63" t="str">
        <f aca="false">IFERROR(IF(ISNUMBER(C35),TEXT(10^INT(LOG10(ABS(C35)+1E-030))*CHOOSE(MATCH(C35/10^INT(LOG10(ABS(C35)+1E-030)),{0,1.0488,1.1489,1.249,1.3964,1.5492,1.6971,1.8974,2.0976,2.2978,2.5456,2.846,3.1464,3.4467,3.747,4.0951,4.4956,4.8959,5.3442,5.8924,6.4931,7.1414,7.8422,8.6383,9.5394},1),1,1.1,1.2,1.3,1.5,1.6,1.8,2,2.2,2.4,2.7,3,3.3,3.6,3.9,4.3,4.7,5.1,5.6,6.2,6.8,7.5,8.2,9.1,10),"0.##")&amp;" "&amp;D35,C35),"—")</f>
        <v>430 pF</v>
      </c>
      <c r="F35" s="51"/>
      <c r="G35" s="51"/>
      <c r="H35" s="51"/>
      <c r="I35" s="51"/>
      <c r="J35" s="53"/>
    </row>
    <row r="36" customFormat="false" ht="53.7" hidden="false" customHeight="false" outlineLevel="0" collapsed="false">
      <c r="A36" s="51"/>
      <c r="B36" s="8" t="s">
        <v>203</v>
      </c>
      <c r="C36" s="68" t="n">
        <f aca="false">IF(NOT(ISNUMBER(C12)),"⚠ R_opt invalid — fix QL on main sheet first",IF(ISNUMBER(C21),IF(C21&gt;3,"⚠ n&gt;3: Use L-network + 50Ω LPF",1.1468*C22/C20),"⚠ n invalid"))</f>
        <v>7.48334101159665E-007</v>
      </c>
      <c r="D36" s="63" t="s">
        <v>67</v>
      </c>
      <c r="E36" s="51"/>
      <c r="F36" s="64" t="s">
        <v>204</v>
      </c>
      <c r="G36" s="51"/>
      <c r="H36" s="51"/>
      <c r="I36" s="51"/>
      <c r="J36" s="53"/>
    </row>
    <row r="37" customFormat="false" ht="15" hidden="false" customHeight="false" outlineLevel="0" collapsed="false">
      <c r="A37" s="51"/>
      <c r="B37" s="8" t="s">
        <v>153</v>
      </c>
      <c r="C37" s="68" t="n">
        <f aca="false">IF(ISNUMBER(C36),C36*1000000,C36)</f>
        <v>0.748334101159666</v>
      </c>
      <c r="D37" s="63" t="s">
        <v>70</v>
      </c>
      <c r="E37" s="63" t="str">
        <f aca="false">IFERROR(IF(ISNUMBER(C37),TEXT(10^INT(LOG10(ABS(C37)+1E-030))*CHOOSE(MATCH(C37/10^INT(LOG10(ABS(C37)+1E-030)),{0,1.0488,1.1489,1.249,1.3964,1.5492,1.6971,1.8974,2.0976,2.2978,2.5456,2.846,3.1464,3.4467,3.747,4.0951,4.4956,4.8959,5.3442,5.8924,6.4931,7.1414,7.8422,8.6383,9.5394},1),1,1.1,1.2,1.3,1.5,1.6,1.8,2,2.2,2.4,2.7,3,3.3,3.6,3.9,4.3,4.7,5.1,5.6,6.2,6.8,7.5,8.2,9.1,10),"0.##")&amp;" "&amp;D37,C37),"—")</f>
        <v>0.75 µH</v>
      </c>
      <c r="F37" s="51"/>
      <c r="G37" s="51"/>
      <c r="H37" s="51"/>
      <c r="I37" s="51"/>
      <c r="J37" s="53"/>
    </row>
    <row r="38" customFormat="false" ht="15" hidden="false" customHeight="false" outlineLevel="0" collapsed="false">
      <c r="A38" s="51"/>
      <c r="B38" s="65"/>
      <c r="C38" s="66"/>
      <c r="D38" s="52"/>
      <c r="E38" s="51"/>
      <c r="F38" s="51"/>
      <c r="G38" s="51"/>
      <c r="H38" s="51"/>
      <c r="I38" s="51"/>
      <c r="J38" s="53"/>
    </row>
    <row r="39" customFormat="false" ht="15.65" hidden="false" customHeight="false" outlineLevel="0" collapsed="false">
      <c r="A39" s="51"/>
      <c r="B39" s="54" t="s">
        <v>112</v>
      </c>
      <c r="C39" s="66"/>
      <c r="D39" s="52"/>
      <c r="E39" s="51"/>
      <c r="F39" s="51"/>
      <c r="G39" s="51"/>
      <c r="H39" s="51"/>
      <c r="I39" s="51"/>
      <c r="J39" s="53"/>
    </row>
    <row r="40" customFormat="false" ht="15" hidden="false" customHeight="false" outlineLevel="0" collapsed="false">
      <c r="A40" s="51"/>
      <c r="B40" s="42" t="s">
        <v>8</v>
      </c>
      <c r="C40" s="59" t="s">
        <v>9</v>
      </c>
      <c r="D40" s="60" t="s">
        <v>10</v>
      </c>
      <c r="E40" s="60"/>
      <c r="F40" s="60" t="s">
        <v>48</v>
      </c>
      <c r="G40" s="61"/>
      <c r="H40" s="61"/>
      <c r="I40" s="61"/>
      <c r="J40" s="53"/>
    </row>
    <row r="41" customFormat="false" ht="98.85" hidden="false" customHeight="false" outlineLevel="0" collapsed="false">
      <c r="A41" s="51"/>
      <c r="B41" s="8" t="s">
        <v>205</v>
      </c>
      <c r="C41" s="68" t="n">
        <f aca="false">-10*LOG10((1+(10^(0.1/10)-1)*(16*(2*C11/C19)^5-20*(2*C11/C19)^3+5*(2*C11/C19))^2)/(1+(10^(0.1/10)-1)*(16*(C11/C19)^5-20*(C11/C19)^3+5*(C11/C19))^2))</f>
        <v>-16.5874077706108</v>
      </c>
      <c r="D41" s="63" t="s">
        <v>155</v>
      </c>
      <c r="E41" s="63" t="str">
        <f aca="false">IF(C41&lt;-50,"✅ Meets IARU −50 dBc",IF(C41&lt;-43,"⚠ Meets FCC −43 dBc only","🚨 Fails FCC −43 dBc"))</f>
        <v>🚨 Fails FCC −43 dBc</v>
      </c>
      <c r="F41" s="64" t="str">
        <f aca="false">IF(C41&lt;-50,"✅ "&amp;TEXT(ABS(C41),"0.0")&amp;" dBc at 2f — meets IARU −50 dBc and FCC §97.307 −43 dBc.","⚠ "&amp;TEXT(ABS(C41),"0.0")&amp;" dBc at 2f — insufficient for IARU −50 dBc. Increase filter order or lower fc.")</f>
        <v>⚠ 16.6 dBc at 2f — insufficient for IARU −50 dBc. Increase filter order or lower fc.</v>
      </c>
      <c r="G41" s="51"/>
      <c r="H41" s="51" t="str">
        <f aca="false">IF(ABS(C21-1)&gt;0.05,"⚠ ASYMMETRIC FILTER — n=Z_load/R_opt="&amp;TEXT(C21,"0.00")&amp;"×. The Chebyshev attenuation formula below assumes equal source/load impedances. For asymmetric terminations: (a) passband insertion-loss error ≈"&amp;TEXT(ABS(10*LOG10((1+C21)^2/(4*C21))),"0.1")&amp;" dB; (b) stopband attenuation at 2f/3f can be 10–20 dB LOWER than calculated when n&gt;1.5. These C41/C42 values must be treated as UPPER BOUNDS only. Verify actual stopband depth with LTspice using R_opt as the source impedance.","✅ n≈1: near-symmetric — attenuation estimates reliable (error &lt;1 dB).")</f>
        <v>⚠ ASYMMETRIC FILTER — n=Z_load/R_opt=1.55×. The Chebyshev attenuation formula below assumes equal source/load impedances. For asymmetric terminations: (a) passband insertion-loss error ≈2 dB; (b) stopband attenuation at 2f/3f can be 10–20 dB LOWER than calculated when n&gt;1.5. These C41/C42 values must be treated as UPPER BOUNDS only. Verify actual stopband depth with LTspice using R_opt as the source impedance.</v>
      </c>
      <c r="I41" s="51" t="str">
        <f aca="false">IF(ABS(C21-1)&gt;0.05, "Lower-bound estimate (worst-case asymmetric): "&amp;TEXT(C41+20,"0.0")&amp;" dBc at 2f (assumes up to 20 dB penalty for n="&amp;TEXT(C21,"0.00")&amp;"×). "&amp;IF(C41+20&lt;-50,"✅ Even worst-case meets IARU -50 dBc.",IF(C41+20&lt;-43,"⚠ Worst-case meets FCC -43 dBc only — verify with LTspice.","🚨 Worst-case may fail FCC -43 dBc. Reduce fc or increase poles.")), "— (n≈1, penalty small)")</f>
        <v>Lower-bound estimate (worst-case asymmetric): 3.4 dBc at 2f (assumes up to 20 dB penalty for n=1.55×). 🚨 Worst-case may fail FCC -43 dBc. Reduce fc or increase poles.</v>
      </c>
      <c r="J41" s="53"/>
    </row>
    <row r="42" customFormat="false" ht="98.85" hidden="false" customHeight="false" outlineLevel="0" collapsed="false">
      <c r="A42" s="51"/>
      <c r="B42" s="8" t="s">
        <v>206</v>
      </c>
      <c r="C42" s="68" t="n">
        <f aca="false">-10*LOG10((1+(10^(0.1/10)-1)*(16*(3*C11/C19)^5-20*(3*C11/C19)^3+5*(3*C11/C19))^2)/(1+(10^(0.1/10)-1)*(16*(C11/C19)^5-20*(C11/C19)^3+5*(C11/C19))^2))</f>
        <v>-38.2143276045362</v>
      </c>
      <c r="D42" s="63" t="s">
        <v>155</v>
      </c>
      <c r="E42" s="63" t="str">
        <f aca="false">IF(C42&lt;-50,"✅ Meets IARU −50 dBc",IF(C42&lt;-43,"⚠ FCC only","🚨 Fails FCC"))</f>
        <v>🚨 Fails FCC</v>
      </c>
      <c r="F42" s="64" t="str">
        <f aca="false">IF(C42&lt;-50,"✅ "&amp;TEXT(ABS(C42),"0.0")&amp;" dBc at 3f — excellent harmonic rejection.","⚠ "&amp;TEXT(ABS(C42),"0.0")&amp;" dBc at 3f — add filter poles for IARU compliance.")</f>
        <v>⚠ 38.2 dBc at 3f — add filter poles for IARU compliance.</v>
      </c>
      <c r="G42" s="51"/>
      <c r="H42" s="51" t="str">
        <f aca="false">H41</f>
        <v>⚠ ASYMMETRIC FILTER — n=Z_load/R_opt=1.55×. The Chebyshev attenuation formula below assumes equal source/load impedances. For asymmetric terminations: (a) passband insertion-loss error ≈2 dB; (b) stopband attenuation at 2f/3f can be 10–20 dB LOWER than calculated when n&gt;1.5. These C41/C42 values must be treated as UPPER BOUNDS only. Verify actual stopband depth with LTspice using R_opt as the source impedance.</v>
      </c>
      <c r="I42" s="51" t="str">
        <f aca="false">IF(ABS(C21-1)&gt;0.05, "Lower-bound estimate (worst-case asymmetric): "&amp;TEXT(C42+20,"0.0")&amp;" dBc at 3f.", "—")</f>
        <v>Lower-bound estimate (worst-case asymmetric): -18.2 dBc at 3f.</v>
      </c>
      <c r="J42" s="53"/>
    </row>
    <row r="43" customFormat="false" ht="66.75" hidden="false" customHeight="false" outlineLevel="0" collapsed="false">
      <c r="A43" s="51"/>
      <c r="B43" s="8" t="s">
        <v>157</v>
      </c>
      <c r="C43" s="71"/>
      <c r="D43" s="52"/>
      <c r="E43" s="51"/>
      <c r="F43" s="64" t="str">
        <f aca="false">IF('Class-E Calculator'!C65&lt;0.1,"⚠ LPF SOURCE: No L-network on main sheet — LPF source IS R_opt. These attenuation values apply directly to this sheet's design.","ℹ L-network active on main sheet (Q="&amp;TEXT('Class-E Calculator'!C65,"0.00")&amp;"×). When using this LPF direct-coupled sheet, connect the LPF directly to the drain WITHOUT the main-sheet L-network. The two approaches are alternatives, not series.")</f>
        <v>ℹ L-network active on main sheet (Q=0.74×). When using this LPF direct-coupled sheet, connect the LPF directly to the drain WITHOUT the main-sheet L-network. The two approaches are alternatives, not series.</v>
      </c>
      <c r="G43" s="51"/>
      <c r="H43" s="51"/>
      <c r="I43" s="51"/>
      <c r="J43" s="53"/>
    </row>
    <row r="44" customFormat="false" ht="15" hidden="false" customHeight="false" outlineLevel="0" collapsed="false">
      <c r="A44" s="51"/>
      <c r="B44" s="51"/>
      <c r="C44" s="51"/>
      <c r="D44" s="52"/>
      <c r="E44" s="51"/>
      <c r="F44" s="51"/>
      <c r="G44" s="51"/>
      <c r="H44" s="51"/>
      <c r="I44" s="51"/>
      <c r="J44" s="53"/>
    </row>
    <row r="45" customFormat="false" ht="15" hidden="false" customHeight="false" outlineLevel="0" collapsed="false">
      <c r="B45" s="72"/>
    </row>
    <row r="46" customFormat="false" ht="15" hidden="false" customHeight="false" outlineLevel="0" collapsed="false">
      <c r="B46" s="73"/>
    </row>
    <row r="47" customFormat="false" ht="15" hidden="false" customHeight="false" outlineLevel="0" collapsed="false">
      <c r="B47" s="73"/>
    </row>
    <row r="48" customFormat="false" ht="15" hidden="false" customHeight="false" outlineLevel="0" collapsed="false">
      <c r="B48" s="73"/>
    </row>
    <row r="49" customFormat="false" ht="15" hidden="false" customHeight="false" outlineLevel="0" collapsed="false">
      <c r="B49" s="73"/>
    </row>
    <row r="50" customFormat="false" ht="15" hidden="false" customHeight="false" outlineLevel="0" collapsed="false">
      <c r="B50" s="73"/>
    </row>
    <row r="51" customFormat="false" ht="15" hidden="false" customHeight="false" outlineLevel="0" collapsed="false">
      <c r="B51" s="7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200" zoomScaleNormal="200" zoomScalePageLayoutView="100" workbookViewId="0">
      <selection pane="topLeft" activeCell="F47" activeCellId="0" sqref="F47"/>
    </sheetView>
  </sheetViews>
  <sheetFormatPr defaultColWidth="8.6796875" defaultRowHeight="15" customHeight="false" zeroHeight="false" outlineLevelRow="0" outlineLevelCol="0"/>
  <cols>
    <col collapsed="false" customWidth="true" hidden="false" outlineLevel="0" max="1" min="1" style="74" width="2.55"/>
    <col collapsed="false" customWidth="true" hidden="false" outlineLevel="0" max="2" min="2" style="74" width="81.39"/>
    <col collapsed="false" customWidth="true" hidden="false" outlineLevel="0" max="3" min="3" style="74" width="14.72"/>
    <col collapsed="false" customWidth="true" hidden="false" outlineLevel="0" max="4" min="4" style="74" width="6.25"/>
    <col collapsed="false" customWidth="true" hidden="false" outlineLevel="0" max="5" min="5" style="74" width="11.53"/>
    <col collapsed="false" customWidth="true" hidden="false" outlineLevel="0" max="6" min="6" style="74" width="34.25"/>
    <col collapsed="false" customWidth="true" hidden="false" outlineLevel="0" max="7" min="7" style="74" width="2.55"/>
    <col collapsed="false" customWidth="true" hidden="false" outlineLevel="0" max="8" min="8" style="74" width="66.15"/>
    <col collapsed="false" customWidth="true" hidden="false" outlineLevel="0" max="9" min="9" style="74" width="35.96"/>
    <col collapsed="false" customWidth="true" hidden="false" outlineLevel="0" max="10" min="10" style="74" width="2.55"/>
    <col collapsed="false" customWidth="false" hidden="false" outlineLevel="0" max="16383" min="12" style="74" width="8.68"/>
    <col collapsed="false" customWidth="true" hidden="false" outlineLevel="0" max="16384" min="16384" style="74" width="11.53"/>
  </cols>
  <sheetData>
    <row r="1" customFormat="false" ht="15" hidden="false" customHeight="false" outlineLevel="0" collapsed="false">
      <c r="A1" s="75"/>
      <c r="B1" s="75"/>
      <c r="C1" s="75"/>
      <c r="D1" s="75"/>
      <c r="E1" s="75"/>
      <c r="F1" s="75"/>
      <c r="G1" s="75"/>
      <c r="H1" s="75"/>
      <c r="I1" s="75"/>
    </row>
    <row r="2" customFormat="false" ht="15" hidden="false" customHeight="false" outlineLevel="0" collapsed="false">
      <c r="A2" s="75"/>
      <c r="B2" s="64" t="s">
        <v>207</v>
      </c>
      <c r="C2" s="75"/>
      <c r="D2" s="75"/>
      <c r="E2" s="75"/>
      <c r="F2" s="75"/>
      <c r="G2" s="75"/>
      <c r="H2" s="75"/>
      <c r="I2" s="75"/>
    </row>
    <row r="3" customFormat="false" ht="15" hidden="false" customHeight="false" outlineLevel="0" collapsed="false">
      <c r="A3" s="75"/>
      <c r="B3" s="75"/>
      <c r="C3" s="75"/>
      <c r="D3" s="75"/>
      <c r="E3" s="75"/>
      <c r="F3" s="75"/>
      <c r="G3" s="75"/>
      <c r="H3" s="75"/>
      <c r="I3" s="75"/>
    </row>
    <row r="4" customFormat="false" ht="50.7" hidden="false" customHeight="false" outlineLevel="0" collapsed="false">
      <c r="A4" s="75"/>
      <c r="B4" s="76" t="s">
        <v>208</v>
      </c>
      <c r="C4" s="75"/>
      <c r="D4" s="75"/>
      <c r="E4" s="75"/>
      <c r="F4" s="75"/>
      <c r="G4" s="75"/>
      <c r="H4" s="75"/>
      <c r="I4" s="75"/>
    </row>
    <row r="5" customFormat="false" ht="15" hidden="false" customHeight="false" outlineLevel="0" collapsed="false">
      <c r="A5" s="75"/>
      <c r="B5" s="77" t="s">
        <v>2</v>
      </c>
      <c r="C5" s="75"/>
      <c r="D5" s="75"/>
      <c r="E5" s="75"/>
      <c r="F5" s="75"/>
      <c r="G5" s="75"/>
      <c r="H5" s="75"/>
      <c r="I5" s="75"/>
    </row>
    <row r="6" customFormat="false" ht="15" hidden="false" customHeight="false" outlineLevel="0" collapsed="false">
      <c r="A6" s="75"/>
      <c r="B6" s="78"/>
      <c r="C6" s="75"/>
      <c r="D6" s="75"/>
      <c r="E6" s="75"/>
      <c r="F6" s="75"/>
      <c r="G6" s="75"/>
      <c r="H6" s="75"/>
      <c r="I6" s="75"/>
    </row>
    <row r="7" customFormat="false" ht="87.65" hidden="false" customHeight="false" outlineLevel="0" collapsed="false">
      <c r="A7" s="75"/>
      <c r="B7" s="76" t="s">
        <v>209</v>
      </c>
      <c r="C7" s="75"/>
      <c r="D7" s="75"/>
      <c r="E7" s="75"/>
      <c r="F7" s="75"/>
      <c r="G7" s="75"/>
      <c r="H7" s="75"/>
      <c r="I7" s="75"/>
    </row>
    <row r="8" customFormat="false" ht="15" hidden="false" customHeight="false" outlineLevel="0" collapsed="false">
      <c r="A8" s="75"/>
      <c r="B8" s="75"/>
      <c r="C8" s="75"/>
      <c r="D8" s="75"/>
      <c r="E8" s="75"/>
      <c r="F8" s="75"/>
      <c r="G8" s="75"/>
      <c r="H8" s="75"/>
      <c r="I8" s="75"/>
    </row>
    <row r="9" customFormat="false" ht="15" hidden="false" customHeight="false" outlineLevel="0" collapsed="false">
      <c r="A9" s="75"/>
      <c r="B9" s="64" t="s">
        <v>174</v>
      </c>
      <c r="C9" s="75"/>
      <c r="D9" s="75"/>
      <c r="E9" s="75"/>
      <c r="F9" s="75"/>
      <c r="G9" s="75"/>
      <c r="H9" s="75"/>
      <c r="I9" s="75"/>
    </row>
    <row r="10" customFormat="false" ht="15" hidden="false" customHeight="false" outlineLevel="0" collapsed="false">
      <c r="A10" s="75"/>
      <c r="B10" s="79" t="s">
        <v>8</v>
      </c>
      <c r="C10" s="80" t="s">
        <v>9</v>
      </c>
      <c r="D10" s="81" t="s">
        <v>10</v>
      </c>
      <c r="E10" s="82"/>
      <c r="F10" s="81" t="s">
        <v>48</v>
      </c>
      <c r="G10" s="82"/>
      <c r="H10" s="82"/>
      <c r="I10" s="82"/>
    </row>
    <row r="11" customFormat="false" ht="27.6" hidden="false" customHeight="false" outlineLevel="0" collapsed="false">
      <c r="A11" s="75"/>
      <c r="B11" s="83" t="s">
        <v>175</v>
      </c>
      <c r="C11" s="84" t="n">
        <f aca="false">'Class-E Calculator'!C18</f>
        <v>7</v>
      </c>
      <c r="D11" s="64" t="s">
        <v>16</v>
      </c>
      <c r="E11" s="75"/>
      <c r="F11" s="64" t="s">
        <v>176</v>
      </c>
      <c r="G11" s="75"/>
      <c r="H11" s="75"/>
      <c r="I11" s="75"/>
    </row>
    <row r="12" customFormat="false" ht="66.75" hidden="false" customHeight="false" outlineLevel="0" collapsed="false">
      <c r="A12" s="75"/>
      <c r="B12" s="83" t="s">
        <v>177</v>
      </c>
      <c r="C12" s="84" t="n">
        <f aca="false">'Class-E Calculator'!C42</f>
        <v>32.289222500631</v>
      </c>
      <c r="D12" s="64" t="s">
        <v>22</v>
      </c>
      <c r="E12" s="75"/>
      <c r="F12" s="64" t="s">
        <v>178</v>
      </c>
      <c r="G12" s="75"/>
      <c r="H12" s="75"/>
      <c r="I12" s="75"/>
    </row>
    <row r="13" customFormat="false" ht="27.6" hidden="false" customHeight="false" outlineLevel="0" collapsed="false">
      <c r="A13" s="75"/>
      <c r="B13" s="83" t="s">
        <v>179</v>
      </c>
      <c r="C13" s="84" t="n">
        <f aca="false">'Class-E Calculator'!C25</f>
        <v>50</v>
      </c>
      <c r="D13" s="64" t="s">
        <v>22</v>
      </c>
      <c r="E13" s="75"/>
      <c r="F13" s="64" t="s">
        <v>180</v>
      </c>
      <c r="G13" s="75"/>
      <c r="H13" s="75"/>
      <c r="I13" s="75"/>
    </row>
    <row r="14" customFormat="false" ht="27.6" hidden="false" customHeight="false" outlineLevel="0" collapsed="false">
      <c r="A14" s="75"/>
      <c r="B14" s="83" t="s">
        <v>181</v>
      </c>
      <c r="C14" s="84" t="n">
        <f aca="false">'Class-E Calculator'!C16</f>
        <v>5</v>
      </c>
      <c r="D14" s="64" t="s">
        <v>12</v>
      </c>
      <c r="E14" s="75"/>
      <c r="F14" s="64" t="s">
        <v>182</v>
      </c>
      <c r="G14" s="75"/>
      <c r="H14" s="75"/>
      <c r="I14" s="75"/>
    </row>
    <row r="15" customFormat="false" ht="15" hidden="false" customHeight="false" outlineLevel="0" collapsed="false">
      <c r="A15" s="75"/>
      <c r="B15" s="83" t="s">
        <v>183</v>
      </c>
      <c r="C15" s="84" t="n">
        <f aca="false">'Class-E Calculator'!C17</f>
        <v>0.4</v>
      </c>
      <c r="D15" s="64" t="s">
        <v>14</v>
      </c>
      <c r="E15" s="75"/>
      <c r="F15" s="64" t="s">
        <v>184</v>
      </c>
      <c r="G15" s="75"/>
      <c r="H15" s="75"/>
      <c r="I15" s="75"/>
    </row>
    <row r="16" customFormat="false" ht="15" hidden="false" customHeight="false" outlineLevel="0" collapsed="false">
      <c r="A16" s="75"/>
      <c r="B16" s="75"/>
      <c r="C16" s="85"/>
      <c r="D16" s="75"/>
      <c r="E16" s="75"/>
      <c r="F16" s="75"/>
      <c r="G16" s="75"/>
      <c r="H16" s="75"/>
      <c r="I16" s="75"/>
    </row>
    <row r="17" customFormat="false" ht="27.6" hidden="false" customHeight="false" outlineLevel="0" collapsed="false">
      <c r="A17" s="75"/>
      <c r="B17" s="64" t="s">
        <v>47</v>
      </c>
      <c r="C17" s="85"/>
      <c r="D17" s="75"/>
      <c r="E17" s="75"/>
      <c r="F17" s="64" t="str">
        <f aca="false">IF('Class-E Calculator'!C25/'Class-E Calculator'!C42&lt;1.5,"✅ Impedance ratio n&lt;1.5 — direct asymmetric LPF is valid.",IF('Class-E Calculator'!C25/'Class-E Calculator'!C42&lt;=3,"⚠ n="&amp;TEXT('Class-E Calculator'!C25/'Class-E Calculator'!C42,"0.0")&amp;" — Valid range, verify with LTspice.","🚨 n="&amp;TEXT('Class-E Calculator'!C25/'Class-E Calculator'!C42,"0.0")&amp;" — Use L-network + 50Ω LPF on main sheet instead."))</f>
        <v>⚠ n=1.5 — Valid range, verify with LTspice.</v>
      </c>
      <c r="G17" s="75"/>
      <c r="H17" s="75"/>
      <c r="I17" s="75"/>
    </row>
    <row r="18" customFormat="false" ht="15" hidden="false" customHeight="false" outlineLevel="0" collapsed="false">
      <c r="A18" s="75"/>
      <c r="B18" s="79" t="s">
        <v>8</v>
      </c>
      <c r="C18" s="80" t="s">
        <v>9</v>
      </c>
      <c r="D18" s="81" t="s">
        <v>10</v>
      </c>
      <c r="E18" s="82"/>
      <c r="F18" s="81" t="s">
        <v>48</v>
      </c>
      <c r="G18" s="82"/>
      <c r="H18" s="82"/>
      <c r="I18" s="82"/>
    </row>
    <row r="19" customFormat="false" ht="40.65" hidden="false" customHeight="false" outlineLevel="0" collapsed="false">
      <c r="A19" s="75"/>
      <c r="B19" s="83" t="s">
        <v>134</v>
      </c>
      <c r="C19" s="86" t="n">
        <f aca="false">1.4*C11</f>
        <v>9.8</v>
      </c>
      <c r="D19" s="64" t="s">
        <v>16</v>
      </c>
      <c r="E19" s="75"/>
      <c r="F19" s="64" t="s">
        <v>185</v>
      </c>
      <c r="G19" s="75"/>
      <c r="H19" s="75"/>
      <c r="I19" s="75"/>
    </row>
    <row r="20" customFormat="false" ht="15" hidden="false" customHeight="false" outlineLevel="0" collapsed="false">
      <c r="A20" s="75"/>
      <c r="B20" s="83" t="s">
        <v>136</v>
      </c>
      <c r="C20" s="86" t="n">
        <f aca="false">2*PI()*C19*1000000</f>
        <v>61575216.0103599</v>
      </c>
      <c r="D20" s="64" t="s">
        <v>50</v>
      </c>
      <c r="E20" s="75"/>
      <c r="F20" s="75"/>
      <c r="G20" s="75"/>
      <c r="H20" s="75"/>
      <c r="I20" s="75"/>
    </row>
    <row r="21" customFormat="false" ht="79.85" hidden="false" customHeight="false" outlineLevel="0" collapsed="false">
      <c r="A21" s="75"/>
      <c r="B21" s="83" t="s">
        <v>186</v>
      </c>
      <c r="C21" s="86" t="n">
        <f aca="false">IF(NOT(ISNUMBER(C12)),"⚠ R_opt invalid — fix QL on main sheet first",C13/C12)</f>
        <v>1.54850430353419</v>
      </c>
      <c r="D21" s="64" t="s">
        <v>18</v>
      </c>
      <c r="E21" s="75"/>
      <c r="F21" s="64" t="s">
        <v>210</v>
      </c>
      <c r="G21" s="75"/>
      <c r="H21" s="75"/>
      <c r="I21" s="75"/>
    </row>
    <row r="22" customFormat="false" ht="79.85" hidden="false" customHeight="false" outlineLevel="0" collapsed="false">
      <c r="A22" s="75"/>
      <c r="B22" s="83" t="s">
        <v>188</v>
      </c>
      <c r="C22" s="86" t="n">
        <f aca="false">IF(NOT(ISNUMBER(C12)),"⚠ R_opt invalid — fix QL on main sheet first",SQRT(C12*C13))</f>
        <v>40.1803574527598</v>
      </c>
      <c r="D22" s="64" t="s">
        <v>22</v>
      </c>
      <c r="E22" s="75"/>
      <c r="F22" s="64" t="s">
        <v>211</v>
      </c>
      <c r="G22" s="75"/>
      <c r="H22" s="75"/>
      <c r="I22" s="75"/>
    </row>
    <row r="23" customFormat="false" ht="79.85" hidden="false" customHeight="false" outlineLevel="0" collapsed="false">
      <c r="A23" s="75"/>
      <c r="B23" s="83" t="s">
        <v>190</v>
      </c>
      <c r="C23" s="86" t="n">
        <f aca="false">3.562*('Class-E Calculator'!C16-'Class-E Calculator'!C35-'Class-E Calculator'!C20)+'Class-E Calculator'!C20</f>
        <v>17.81</v>
      </c>
      <c r="D23" s="64" t="s">
        <v>12</v>
      </c>
      <c r="E23" s="75"/>
      <c r="F23" s="64" t="s">
        <v>191</v>
      </c>
      <c r="G23" s="75"/>
      <c r="H23" s="75"/>
      <c r="I23" s="75"/>
    </row>
    <row r="24" customFormat="false" ht="53.7" hidden="false" customHeight="false" outlineLevel="0" collapsed="false">
      <c r="A24" s="75"/>
      <c r="B24" s="83" t="s">
        <v>192</v>
      </c>
      <c r="C24" s="86" t="n">
        <f aca="false">SQRT(C15/C13)</f>
        <v>0.0894427190999916</v>
      </c>
      <c r="D24" s="64" t="s">
        <v>55</v>
      </c>
      <c r="E24" s="75"/>
      <c r="F24" s="64" t="s">
        <v>212</v>
      </c>
      <c r="G24" s="75"/>
      <c r="H24" s="75"/>
      <c r="I24" s="75"/>
    </row>
    <row r="25" customFormat="false" ht="15" hidden="false" customHeight="false" outlineLevel="0" collapsed="false">
      <c r="A25" s="75"/>
      <c r="B25" s="75"/>
      <c r="C25" s="85"/>
      <c r="D25" s="75"/>
      <c r="E25" s="75"/>
      <c r="F25" s="75"/>
      <c r="G25" s="75"/>
      <c r="H25" s="75"/>
      <c r="I25" s="75"/>
    </row>
    <row r="26" customFormat="false" ht="15" hidden="false" customHeight="false" outlineLevel="0" collapsed="false">
      <c r="A26" s="75"/>
      <c r="B26" s="64" t="s">
        <v>213</v>
      </c>
      <c r="C26" s="75"/>
      <c r="D26" s="75"/>
      <c r="E26" s="75"/>
      <c r="F26" s="75"/>
      <c r="G26" s="75"/>
      <c r="H26" s="75"/>
      <c r="I26" s="75"/>
    </row>
    <row r="27" customFormat="false" ht="15" hidden="false" customHeight="false" outlineLevel="0" collapsed="false">
      <c r="A27" s="75"/>
      <c r="B27" s="79" t="s">
        <v>8</v>
      </c>
      <c r="C27" s="80" t="s">
        <v>9</v>
      </c>
      <c r="D27" s="80" t="s">
        <v>10</v>
      </c>
      <c r="E27" s="81" t="s">
        <v>60</v>
      </c>
      <c r="F27" s="81" t="s">
        <v>48</v>
      </c>
      <c r="G27" s="82"/>
      <c r="H27" s="82"/>
      <c r="I27" s="82"/>
    </row>
    <row r="28" customFormat="false" ht="40.65" hidden="false" customHeight="false" outlineLevel="0" collapsed="false">
      <c r="A28" s="75"/>
      <c r="B28" s="83" t="s">
        <v>214</v>
      </c>
      <c r="C28" s="86" t="n">
        <f aca="false">IF(NOT(ISNUMBER(C12)),"⚠ R_opt invalid — fix QL on main sheet first",IF(ISNUMBER(C21),IF(C21&gt;3,"⚠ n&gt;3: Use L-network + 50Ω LPF",1.181203*C22/C20),"⚠ n invalid"))</f>
        <v>7.70783471653384E-007</v>
      </c>
      <c r="D28" s="64" t="s">
        <v>67</v>
      </c>
      <c r="E28" s="75"/>
      <c r="F28" s="64" t="s">
        <v>196</v>
      </c>
      <c r="G28" s="75"/>
      <c r="H28" s="75"/>
      <c r="I28" s="75"/>
    </row>
    <row r="29" customFormat="false" ht="15" hidden="false" customHeight="false" outlineLevel="0" collapsed="false">
      <c r="A29" s="75"/>
      <c r="B29" s="83" t="s">
        <v>141</v>
      </c>
      <c r="C29" s="86" t="n">
        <f aca="false">IF(ISNUMBER(C28),C28*1000000,C28)</f>
        <v>0.770783471653384</v>
      </c>
      <c r="D29" s="64" t="s">
        <v>70</v>
      </c>
      <c r="E29" s="64" t="str">
        <f aca="false">IFERROR(IF(ISNUMBER(C29),TEXT(10^INT(LOG10(ABS(C29)+1E-030))*CHOOSE(MATCH(C29/10^INT(LOG10(ABS(C29)+1E-030)),{0,1.0488,1.1489,1.249,1.3964,1.5492,1.6971,1.8974,2.0976,2.2978,2.5456,2.846,3.1464,3.4467,3.747,4.0951,4.4956,4.8959,5.3442,5.8924,6.4931,7.1414,7.8422,8.6383,9.5394},1),1,1.1,1.2,1.3,1.5,1.6,1.8,2,2.2,2.4,2.7,3,3.3,3.6,3.9,4.3,4.7,5.1,5.6,6.2,6.8,7.5,8.2,9.1,10),"0.##")&amp;" "&amp;D29,C29),"—")</f>
        <v>0.75 µH</v>
      </c>
      <c r="F29" s="75"/>
      <c r="G29" s="75"/>
      <c r="H29" s="75"/>
      <c r="I29" s="75"/>
    </row>
    <row r="30" customFormat="false" ht="66.75" hidden="false" customHeight="false" outlineLevel="0" collapsed="false">
      <c r="A30" s="75"/>
      <c r="B30" s="83" t="s">
        <v>215</v>
      </c>
      <c r="C30" s="86" t="n">
        <f aca="false">IF(NOT(ISNUMBER(C12)),"⚠ R_opt invalid — fix QL on main sheet first",IF(C21&gt;3,"⚠ n&gt;3: Use L-network + 50Ω LPF",1.422802/(C12*C20)))</f>
        <v>7.15617471713412E-010</v>
      </c>
      <c r="D30" s="64" t="s">
        <v>62</v>
      </c>
      <c r="E30" s="75"/>
      <c r="F30" s="64" t="s">
        <v>198</v>
      </c>
      <c r="G30" s="75"/>
      <c r="H30" s="75"/>
      <c r="I30" s="75"/>
    </row>
    <row r="31" customFormat="false" ht="15" hidden="false" customHeight="false" outlineLevel="0" collapsed="false">
      <c r="A31" s="75"/>
      <c r="B31" s="83" t="s">
        <v>144</v>
      </c>
      <c r="C31" s="86" t="n">
        <f aca="false">IF(ISNUMBER(C30),C30*1000000000000,C30)</f>
        <v>715.617471713412</v>
      </c>
      <c r="D31" s="64" t="s">
        <v>30</v>
      </c>
      <c r="E31" s="64" t="str">
        <f aca="false">IFERROR(IF(ISNUMBER(C31),TEXT(10^INT(LOG10(ABS(C31)+1E-030))*CHOOSE(MATCH(C31/10^INT(LOG10(ABS(C31)+1E-030)),{0,1.0488,1.1489,1.249,1.3964,1.5492,1.6971,1.8974,2.0976,2.2978,2.5456,2.846,3.1464,3.4467,3.747,4.0951,4.4956,4.8959,5.3442,5.8924,6.4931,7.1414,7.8422,8.6383,9.5394},1),1,1.1,1.2,1.3,1.5,1.6,1.8,2,2.2,2.4,2.7,3,3.3,3.6,3.9,4.3,4.7,5.1,5.6,6.2,6.8,7.5,8.2,9.1,10),"0.##")&amp;" "&amp;D31,C31),"—")</f>
        <v>750 pF</v>
      </c>
      <c r="F31" s="75"/>
      <c r="G31" s="75"/>
      <c r="H31" s="75"/>
      <c r="I31" s="75"/>
    </row>
    <row r="32" customFormat="false" ht="40.65" hidden="false" customHeight="false" outlineLevel="0" collapsed="false">
      <c r="A32" s="75"/>
      <c r="B32" s="83" t="s">
        <v>216</v>
      </c>
      <c r="C32" s="86" t="n">
        <f aca="false">IF(NOT(ISNUMBER(C12)),"⚠ R_opt invalid — fix QL on main sheet first",IF(ISNUMBER(C21),IF(C21&gt;3,"⚠ n&gt;3: Use L-network + 50Ω LPF",2.096694*C22/C20),"⚠ n invalid"))</f>
        <v>1.36817895003214E-006</v>
      </c>
      <c r="D32" s="64" t="s">
        <v>67</v>
      </c>
      <c r="E32" s="75"/>
      <c r="F32" s="64" t="s">
        <v>217</v>
      </c>
      <c r="G32" s="75"/>
      <c r="H32" s="75"/>
      <c r="I32" s="75"/>
    </row>
    <row r="33" customFormat="false" ht="15" hidden="false" customHeight="false" outlineLevel="0" collapsed="false">
      <c r="A33" s="75"/>
      <c r="B33" s="83" t="s">
        <v>147</v>
      </c>
      <c r="C33" s="86" t="n">
        <f aca="false">IF(ISNUMBER(C32),C32*1000000,C32)</f>
        <v>1.36817895003214</v>
      </c>
      <c r="D33" s="64" t="s">
        <v>70</v>
      </c>
      <c r="E33" s="64" t="str">
        <f aca="false">IFERROR(IF(ISNUMBER(C33),TEXT(10^INT(LOG10(ABS(C33)+1E-030))*CHOOSE(MATCH(C33/10^INT(LOG10(ABS(C33)+1E-030)),{0,1.0488,1.1489,1.249,1.3964,1.5492,1.6971,1.8974,2.0976,2.2978,2.5456,2.846,3.1464,3.4467,3.747,4.0951,4.4956,4.8959,5.3442,5.8924,6.4931,7.1414,7.8422,8.6383,9.5394},1),1,1.1,1.2,1.3,1.5,1.6,1.8,2,2.2,2.4,2.7,3,3.3,3.6,3.9,4.3,4.7,5.1,5.6,6.2,6.8,7.5,8.2,9.1,10),"0.##")&amp;" "&amp;D33,C33),"—")</f>
        <v>1.3 µH</v>
      </c>
      <c r="F33" s="75"/>
      <c r="G33" s="75"/>
      <c r="H33" s="75"/>
      <c r="I33" s="75"/>
    </row>
    <row r="34" customFormat="false" ht="210.4" hidden="false" customHeight="false" outlineLevel="0" collapsed="false">
      <c r="A34" s="75"/>
      <c r="B34" s="83" t="s">
        <v>218</v>
      </c>
      <c r="C34" s="86" t="n">
        <f aca="false">IF(NOT(ISNUMBER(C12)),"⚠ R_opt invalid — fix QL on main sheet first",IF(NOT(ISNUMBER(C22)),"⚠ Z0_eff invalid",IF(C21&gt;3,"⚠ n&gt;3: Use L-network + 50Ω LPF",1.573393/(C22*C20))))</f>
        <v>6.3594194910652E-010</v>
      </c>
      <c r="D34" s="64" t="s">
        <v>62</v>
      </c>
      <c r="E34" s="75"/>
      <c r="F34" s="64" t="s">
        <v>219</v>
      </c>
      <c r="G34" s="75"/>
      <c r="H34" s="75"/>
      <c r="I34" s="75"/>
    </row>
    <row r="35" customFormat="false" ht="15" hidden="false" customHeight="false" outlineLevel="0" collapsed="false">
      <c r="A35" s="75"/>
      <c r="B35" s="83" t="s">
        <v>150</v>
      </c>
      <c r="C35" s="86" t="n">
        <f aca="false">IF(ISNUMBER(C34),C34*1000000000000,C34)</f>
        <v>635.94194910652</v>
      </c>
      <c r="D35" s="64" t="s">
        <v>30</v>
      </c>
      <c r="E35" s="64" t="str">
        <f aca="false">IFERROR(IF(ISNUMBER(C35),TEXT(10^INT(LOG10(ABS(C35)+1E-030))*CHOOSE(MATCH(C35/10^INT(LOG10(ABS(C35)+1E-030)),{0,1.0488,1.1489,1.249,1.3964,1.5492,1.6971,1.8974,2.0976,2.2978,2.5456,2.846,3.1464,3.4467,3.747,4.0951,4.4956,4.8959,5.3442,5.8924,6.4931,7.1414,7.8422,8.6383,9.5394},1),1,1.1,1.2,1.3,1.5,1.6,1.8,2,2.2,2.4,2.7,3,3.3,3.6,3.9,4.3,4.7,5.1,5.6,6.2,6.8,7.5,8.2,9.1,10),"0.##")&amp;" "&amp;D35,C35),"—")</f>
        <v>620 pF</v>
      </c>
      <c r="F35" s="75"/>
      <c r="G35" s="75"/>
      <c r="H35" s="75"/>
      <c r="I35" s="75"/>
    </row>
    <row r="36" customFormat="false" ht="40.65" hidden="false" customHeight="false" outlineLevel="0" collapsed="false">
      <c r="A36" s="75"/>
      <c r="B36" s="83" t="s">
        <v>220</v>
      </c>
      <c r="C36" s="86" t="n">
        <f aca="false">IF(NOT(ISNUMBER(C12)),"⚠ R_opt invalid — fix QL on main sheet first",IF(ISNUMBER(C21),IF(C21&gt;3,"⚠ n&gt;3: Use L-network + 50Ω LPF",2.096694*C22/C20),"⚠ n invalid"))</f>
        <v>1.36817895003214E-006</v>
      </c>
      <c r="D36" s="64" t="s">
        <v>67</v>
      </c>
      <c r="E36" s="75"/>
      <c r="F36" s="64" t="s">
        <v>221</v>
      </c>
      <c r="G36" s="75"/>
      <c r="H36" s="75"/>
      <c r="I36" s="75"/>
    </row>
    <row r="37" customFormat="false" ht="15" hidden="false" customHeight="false" outlineLevel="0" collapsed="false">
      <c r="A37" s="75"/>
      <c r="B37" s="83" t="s">
        <v>153</v>
      </c>
      <c r="C37" s="86" t="n">
        <f aca="false">IF(ISNUMBER(C36),C36*1000000,C36)</f>
        <v>1.36817895003214</v>
      </c>
      <c r="D37" s="64" t="s">
        <v>70</v>
      </c>
      <c r="E37" s="64" t="str">
        <f aca="false">IFERROR(IF(ISNUMBER(C37),TEXT(10^INT(LOG10(ABS(C37)+1E-030))*CHOOSE(MATCH(C37/10^INT(LOG10(ABS(C37)+1E-030)),{0,1.0488,1.1489,1.249,1.3964,1.5492,1.6971,1.8974,2.0976,2.2978,2.5456,2.846,3.1464,3.4467,3.747,4.0951,4.4956,4.8959,5.3442,5.8924,6.4931,7.1414,7.8422,8.6383,9.5394},1),1,1.1,1.2,1.3,1.5,1.6,1.8,2,2.2,2.4,2.7,3,3.3,3.6,3.9,4.3,4.7,5.1,5.6,6.2,6.8,7.5,8.2,9.1,10),"0.##")&amp;" "&amp;D37,C37),"—")</f>
        <v>1.3 µH</v>
      </c>
      <c r="F37" s="75"/>
      <c r="G37" s="75"/>
      <c r="H37" s="75"/>
      <c r="I37" s="75"/>
    </row>
    <row r="38" customFormat="false" ht="66.75" hidden="false" customHeight="false" outlineLevel="0" collapsed="false">
      <c r="A38" s="75"/>
      <c r="B38" s="83" t="s">
        <v>222</v>
      </c>
      <c r="C38" s="86" t="n">
        <f aca="false">IF(NOT(ISNUMBER(C12)),"⚠ R_opt invalid — fix QL on main sheet first",IF(NOT(ISNUMBER(C21)),"⚠ n invalid",IF(C21&gt;3,"⚠ n&gt;3: Use L-network + 50Ω LPF",1.422802/(C13*C20))))</f>
        <v>4.62134635389867E-010</v>
      </c>
      <c r="D38" s="64" t="s">
        <v>62</v>
      </c>
      <c r="E38" s="75"/>
      <c r="F38" s="64" t="s">
        <v>223</v>
      </c>
      <c r="G38" s="75"/>
      <c r="H38" s="75"/>
      <c r="I38" s="75"/>
    </row>
    <row r="39" customFormat="false" ht="15" hidden="false" customHeight="false" outlineLevel="0" collapsed="false">
      <c r="A39" s="75"/>
      <c r="B39" s="83" t="s">
        <v>224</v>
      </c>
      <c r="C39" s="86" t="n">
        <f aca="false">IF(ISNUMBER(C38),C38*1000000000000,C38)</f>
        <v>462.134635389867</v>
      </c>
      <c r="D39" s="64" t="s">
        <v>30</v>
      </c>
      <c r="E39" s="64" t="str">
        <f aca="false">IFERROR(IF(ISNUMBER(C39),TEXT(10^INT(LOG10(ABS(C39)+1E-030))*CHOOSE(MATCH(C39/10^INT(LOG10(ABS(C39)+1E-030)),{0,1.0488,1.1489,1.249,1.3964,1.5492,1.6971,1.8974,2.0976,2.2978,2.5456,2.846,3.1464,3.4467,3.747,4.0951,4.4956,4.8959,5.3442,5.8924,6.4931,7.1414,7.8422,8.6383,9.5394},1),1,1.1,1.2,1.3,1.5,1.6,1.8,2,2.2,2.4,2.7,3,3.3,3.6,3.9,4.3,4.7,5.1,5.6,6.2,6.8,7.5,8.2,9.1,10),"0.##")&amp;" "&amp;D39,C39),"—")</f>
        <v>470 pF</v>
      </c>
      <c r="F39" s="75"/>
      <c r="G39" s="75"/>
      <c r="H39" s="75"/>
      <c r="I39" s="75"/>
    </row>
    <row r="40" customFormat="false" ht="66.75" hidden="false" customHeight="false" outlineLevel="0" collapsed="false">
      <c r="A40" s="75"/>
      <c r="B40" s="83" t="s">
        <v>225</v>
      </c>
      <c r="C40" s="86" t="n">
        <f aca="false">IF(NOT(ISNUMBER(C12)),"⚠ R_opt invalid — fix QL on main sheet first",IF(ISNUMBER(C21),IF(C21&gt;3,"⚠ n&gt;3: Use L-network + 50Ω LPF",1.181203*C22/C20),"⚠ n invalid"))</f>
        <v>7.70783471653384E-007</v>
      </c>
      <c r="D40" s="64" t="s">
        <v>67</v>
      </c>
      <c r="E40" s="75"/>
      <c r="F40" s="64" t="s">
        <v>226</v>
      </c>
      <c r="G40" s="75"/>
      <c r="H40" s="75"/>
      <c r="I40" s="75"/>
    </row>
    <row r="41" customFormat="false" ht="15" hidden="false" customHeight="false" outlineLevel="0" collapsed="false">
      <c r="A41" s="75"/>
      <c r="B41" s="83" t="s">
        <v>227</v>
      </c>
      <c r="C41" s="86" t="n">
        <f aca="false">IF(ISNUMBER(C40),C40*1000000,C40)</f>
        <v>0.770783471653384</v>
      </c>
      <c r="D41" s="64" t="s">
        <v>70</v>
      </c>
      <c r="E41" s="64" t="str">
        <f aca="false">IFERROR(IF(ISNUMBER(C41),TEXT(10^INT(LOG10(ABS(C41)+1E-030))*CHOOSE(MATCH(C41/10^INT(LOG10(ABS(C41)+1E-030)),{0,1.0488,1.1489,1.249,1.3964,1.5492,1.6971,1.8974,2.0976,2.2978,2.5456,2.846,3.1464,3.4467,3.747,4.0951,4.4956,4.8959,5.3442,5.8924,6.4931,7.1414,7.8422,8.6383,9.5394},1),1,1.1,1.2,1.3,1.5,1.6,1.8,2,2.2,2.4,2.7,3,3.3,3.6,3.9,4.3,4.7,5.1,5.6,6.2,6.8,7.5,8.2,9.1,10),"0.##")&amp;" "&amp;D41,C41),"—")</f>
        <v>0.75 µH</v>
      </c>
      <c r="F41" s="75"/>
      <c r="G41" s="75"/>
      <c r="H41" s="75"/>
      <c r="I41" s="75"/>
    </row>
    <row r="42" customFormat="false" ht="15" hidden="false" customHeight="false" outlineLevel="0" collapsed="false">
      <c r="A42" s="75"/>
      <c r="B42" s="75"/>
      <c r="C42" s="85"/>
      <c r="D42" s="75"/>
      <c r="E42" s="75"/>
      <c r="F42" s="75"/>
      <c r="G42" s="75"/>
      <c r="H42" s="75"/>
      <c r="I42" s="75"/>
    </row>
    <row r="43" customFormat="false" ht="15" hidden="false" customHeight="false" outlineLevel="0" collapsed="false">
      <c r="A43" s="75"/>
      <c r="B43" s="64" t="s">
        <v>112</v>
      </c>
      <c r="C43" s="75"/>
      <c r="D43" s="75"/>
      <c r="E43" s="75"/>
      <c r="F43" s="75"/>
      <c r="G43" s="75"/>
      <c r="H43" s="75"/>
      <c r="I43" s="75"/>
    </row>
    <row r="44" customFormat="false" ht="15" hidden="false" customHeight="false" outlineLevel="0" collapsed="false">
      <c r="A44" s="75"/>
      <c r="B44" s="79" t="s">
        <v>8</v>
      </c>
      <c r="C44" s="80" t="s">
        <v>9</v>
      </c>
      <c r="D44" s="81" t="s">
        <v>10</v>
      </c>
      <c r="E44" s="82"/>
      <c r="F44" s="81" t="s">
        <v>48</v>
      </c>
      <c r="G44" s="82"/>
      <c r="H44" s="82"/>
      <c r="I44" s="82"/>
    </row>
    <row r="45" customFormat="false" ht="92.9" hidden="false" customHeight="false" outlineLevel="0" collapsed="false">
      <c r="A45" s="75"/>
      <c r="B45" s="83" t="s">
        <v>205</v>
      </c>
      <c r="C45" s="86" t="n">
        <f aca="false">-10*LOG10((1+(10^(0.1/10)-1)*(64*(2*C11/C19)^7-112*(2*C11/C19)^5+56*(2*C11/C19)^3-7*(2*C11/C19))^2)/(1+(10^(0.1/10)-1)*(64*(C11/C19)^7-112*(C11/C19)^5+56*(C11/C19)^3-7*(C11/C19))^2))</f>
        <v>-32.0640508287318</v>
      </c>
      <c r="D45" s="64" t="s">
        <v>155</v>
      </c>
      <c r="E45" s="64" t="str">
        <f aca="false">IF(C45&lt;-50,"✅ Meets IARU −50 dBc",IF(C45&lt;-43,"⚠ Meets FCC −43 dBc only","🚨 Insufficient rejection"))</f>
        <v>🚨 Insufficient rejection</v>
      </c>
      <c r="F45" s="64" t="str">
        <f aca="false">IF(C45&lt;-50,"✅ "&amp;TEXT(ABS(C45),"0.0")&amp;" dBc at 2f — meets IARU −50 dBc limit. Excellent 7-pole performance.",IF(C45&lt;-43,"⚠ "&amp;TEXT(ABS(C45),"0.0")&amp;" dBc — try fc=1.2×f for more stopband depth.","🚨 "&amp;TEXT(ABS(C45),"0.0")&amp;" dBc — reduce fc to 1.2×f."))</f>
        <v>🚨 32.1 dBc — reduce fc to 1.2×f.</v>
      </c>
      <c r="G45" s="75"/>
      <c r="H45" s="87" t="str">
        <f aca="false">IF(ABS(C21-1)&gt;0.05,"⚠ ASYMMETRIC FILTER — n=Z_load/R_opt="&amp;TEXT(C21,"0.00")&amp;"×. The Chebyshev attenuation formula below assumes equal source/load impedances. For asymmetric terminations: (a) passband insertion-loss error ≈"&amp;TEXT(ABS(10*LOG10((1+C21)^2/(4*C21))),"0.1")&amp;" dB; (b) stopband attenuation at 2f/3f can be 10–20 dB LOWER than calculated when n&gt;1.5. These C45/C46 values must be treated as UPPER BOUNDS only. Verify actual stopband depth with LTspice using R_opt as the source impedance.","✅ n≈1: near-symmetric — attenuation estimates reliable (error &lt;1 dB).")</f>
        <v>⚠ ASYMMETRIC FILTER — n=Z_load/R_opt=1.55×. The Chebyshev attenuation formula below assumes equal source/load impedances. For asymmetric terminations: (a) passband insertion-loss error ≈2 dB; (b) stopband attenuation at 2f/3f can be 10–20 dB LOWER than calculated when n&gt;1.5. These C45/C46 values must be treated as UPPER BOUNDS only. Verify actual stopband depth with LTspice using R_opt as the source impedance.</v>
      </c>
      <c r="I45" s="87" t="str">
        <f aca="false">IF(ABS(C21-1)&gt;0.05, "Lower-bound estimate (worst-case asymmetric): "&amp;TEXT(C45+20,"0.0")&amp;" dBc at 2f (up to 20 dB penalty for n="&amp;TEXT(C21,"0.00")&amp;"×). "&amp;IF(C45+20&lt;-50,"✅ Even worst-case meets IARU -50 dBc.",IF(C45+20&lt;-43,"⚠ Worst-case meets FCC -43 dBc only.","🚨 Worst-case may fail FCC -43 dBc.")), "— (n≈1, penalty small)")</f>
        <v>Lower-bound estimate (worst-case asymmetric): -12.1 dBc at 2f (up to 20 dB penalty for n=1.55×). 🚨 Worst-case may fail FCC -43 dBc.</v>
      </c>
    </row>
    <row r="46" customFormat="false" ht="92.9" hidden="false" customHeight="false" outlineLevel="0" collapsed="false">
      <c r="A46" s="75"/>
      <c r="B46" s="83" t="s">
        <v>206</v>
      </c>
      <c r="C46" s="86" t="n">
        <f aca="false">-10*LOG10((1+(10^(0.1/10)-1)*(64*(3*C11/C19)^7-112*(3*C11/C19)^5+56*(3*C11/C19)^3-7*(3*C11/C19))^2)/(1+(10^(0.1/10)-1)*(64*(C11/C19)^7-112*(C11/C19)^5+56*(C11/C19)^3-7*(C11/C19))^2))</f>
        <v>-62.4728499132733</v>
      </c>
      <c r="D46" s="64" t="s">
        <v>155</v>
      </c>
      <c r="E46" s="64" t="str">
        <f aca="false">IF(C46&lt;-50,"✅ Meets IARU −50 dBc",IF(C46&lt;-43,"⚠ FCC only","🚨 Insufficient rejection"))</f>
        <v>✅ Meets IARU −50 dBc</v>
      </c>
      <c r="F46" s="64" t="str">
        <f aca="false">IF(C46&lt;-50,"✅ "&amp;TEXT(ABS(C46),"0.0")&amp;" dBc at 3f — meets IARU −50 dBc limit.",IF(C46&lt;-43,"⚠ "&amp;TEXT(ABS(C46),"0.0")&amp;" dBc at 3f — FCC limit only.","🚨 "&amp;TEXT(ABS(C46),"0.0")&amp;" dBc — reduce fc or increase poles."))</f>
        <v>✅ 62.5 dBc at 3f — meets IARU −50 dBc limit.</v>
      </c>
      <c r="G46" s="75"/>
      <c r="H46" s="87" t="str">
        <f aca="false">H45</f>
        <v>⚠ ASYMMETRIC FILTER — n=Z_load/R_opt=1.55×. The Chebyshev attenuation formula below assumes equal source/load impedances. For asymmetric terminations: (a) passband insertion-loss error ≈2 dB; (b) stopband attenuation at 2f/3f can be 10–20 dB LOWER than calculated when n&gt;1.5. These C45/C46 values must be treated as UPPER BOUNDS only. Verify actual stopband depth with LTspice using R_opt as the source impedance.</v>
      </c>
      <c r="I46" s="87" t="str">
        <f aca="false">IF(ABS(C21-1)&gt;0.05, "Lower-bound estimate (worst-case asymmetric): "&amp;TEXT(C46+20,"0.0")&amp;" dBc at 3f.", "—")</f>
        <v>Lower-bound estimate (worst-case asymmetric): -42.5 dBc at 3f.</v>
      </c>
    </row>
    <row r="47" customFormat="false" ht="53.7" hidden="false" customHeight="false" outlineLevel="0" collapsed="false">
      <c r="A47" s="75"/>
      <c r="B47" s="83" t="s">
        <v>157</v>
      </c>
      <c r="C47" s="85"/>
      <c r="D47" s="75"/>
      <c r="E47" s="75"/>
      <c r="F47" s="64" t="str">
        <f aca="false">IF('Class-E Calculator'!C65&lt;0.1,"⚠ LPF SOURCE: No L-network present (C65&lt;0.1). LPF source = R_opt. Use this sheet for direct drain connection.","ℹ L-network is active (C65≥0.1). For best accuracy use the 5-pole or 7-pole 50Ω LPF on the main sheet instead of this direct-drain sheet.")</f>
        <v>ℹ L-network is active (C65≥0.1). For best accuracy use the 5-pole or 7-pole 50Ω LPF on the main sheet instead of this direct-drain sheet.</v>
      </c>
      <c r="G47" s="75"/>
      <c r="H47" s="75"/>
      <c r="I47" s="75"/>
    </row>
    <row r="48" customFormat="false" ht="15" hidden="false" customHeight="false" outlineLevel="0" collapsed="false">
      <c r="A48" s="75"/>
      <c r="B48" s="75"/>
      <c r="C48" s="75"/>
      <c r="D48" s="75"/>
      <c r="E48" s="75"/>
      <c r="F48" s="75"/>
      <c r="G48" s="75"/>
      <c r="H48" s="75"/>
      <c r="I48" s="7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0"/>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I25" activeCellId="0" sqref="I25"/>
    </sheetView>
  </sheetViews>
  <sheetFormatPr defaultColWidth="8.640625" defaultRowHeight="15" customHeight="false" zeroHeight="false" outlineLevelRow="0" outlineLevelCol="0"/>
  <cols>
    <col collapsed="false" customWidth="true" hidden="false" outlineLevel="0" max="1" min="1" style="74" width="11.73"/>
    <col collapsed="false" customWidth="true" hidden="false" outlineLevel="0" max="2" min="2" style="74" width="9.18"/>
    <col collapsed="false" customWidth="true" hidden="false" outlineLevel="0" max="3" min="3" style="74" width="8.99"/>
    <col collapsed="false" customWidth="true" hidden="false" outlineLevel="0" max="4" min="4" style="74" width="4.33"/>
    <col collapsed="false" customWidth="true" hidden="false" outlineLevel="0" max="5" min="5" style="74" width="9.91"/>
    <col collapsed="false" customWidth="true" hidden="false" outlineLevel="0" max="6" min="6" style="74" width="9.19"/>
    <col collapsed="false" customWidth="false" hidden="false" outlineLevel="0" max="7" min="7" style="74" width="8.65"/>
    <col collapsed="false" customWidth="true" hidden="false" outlineLevel="0" max="8" min="8" style="74" width="5.32"/>
    <col collapsed="false" customWidth="true" hidden="false" outlineLevel="0" max="9" min="9" style="74" width="10.06"/>
    <col collapsed="false" customWidth="true" hidden="false" outlineLevel="0" max="10" min="10" style="74" width="11.71"/>
    <col collapsed="false" customWidth="true" hidden="false" outlineLevel="0" max="11" min="11" style="74" width="17.88"/>
    <col collapsed="false" customWidth="true" hidden="false" outlineLevel="0" max="12" min="12" style="74" width="40.06"/>
    <col collapsed="false" customWidth="true" hidden="false" outlineLevel="0" max="13" min="13" style="74" width="8.58"/>
    <col collapsed="false" customWidth="true" hidden="false" outlineLevel="0" max="14" min="14" style="74" width="10.59"/>
    <col collapsed="false" customWidth="true" hidden="false" outlineLevel="0" max="15" min="15" style="74" width="31.16"/>
    <col collapsed="false" customWidth="true" hidden="false" outlineLevel="0" max="16" min="16" style="74" width="11.53"/>
    <col collapsed="false" customWidth="true" hidden="false" outlineLevel="0" max="17" min="17" style="74" width="10.97"/>
    <col collapsed="false" customWidth="false" hidden="false" outlineLevel="0" max="257" min="18" style="74" width="8.64"/>
  </cols>
  <sheetData>
    <row r="1" customFormat="false" ht="15" hidden="false" customHeight="false" outlineLevel="0" collapsed="false">
      <c r="A1" s="88" t="s">
        <v>228</v>
      </c>
      <c r="B1" s="89"/>
      <c r="C1" s="89"/>
      <c r="D1" s="89"/>
      <c r="E1" s="89"/>
      <c r="F1" s="89"/>
      <c r="G1" s="89"/>
      <c r="H1" s="89"/>
      <c r="I1" s="89"/>
      <c r="J1" s="89"/>
      <c r="K1" s="89"/>
      <c r="L1" s="89"/>
      <c r="M1" s="75"/>
      <c r="N1" s="75"/>
      <c r="O1" s="75"/>
      <c r="P1" s="75"/>
      <c r="Q1" s="75"/>
    </row>
    <row r="2" customFormat="false" ht="15" hidden="false" customHeight="false" outlineLevel="0" collapsed="false">
      <c r="A2" s="90" t="str">
        <f aca="false">IF(COUNTA(A3:Q3)=17,"✅ Table header: 17 columns (A–Q) verified","⚠ Column count mismatch — VLOOKUP indices may be wrong")</f>
        <v>✅ Table header: 17 columns (A–Q) verified</v>
      </c>
      <c r="B2" s="91"/>
      <c r="C2" s="91"/>
      <c r="D2" s="91"/>
      <c r="E2" s="91"/>
      <c r="F2" s="91"/>
      <c r="G2" s="91"/>
      <c r="H2" s="91"/>
      <c r="I2" s="91"/>
      <c r="J2" s="91"/>
      <c r="K2" s="91"/>
      <c r="L2" s="91"/>
      <c r="M2" s="75"/>
      <c r="N2" s="75"/>
      <c r="O2" s="75"/>
      <c r="P2" s="75"/>
      <c r="Q2" s="75"/>
    </row>
    <row r="3" s="97" customFormat="true" ht="27.6" hidden="false" customHeight="false" outlineLevel="0" collapsed="false">
      <c r="A3" s="92" t="s">
        <v>229</v>
      </c>
      <c r="B3" s="92" t="s">
        <v>230</v>
      </c>
      <c r="C3" s="93" t="s">
        <v>231</v>
      </c>
      <c r="D3" s="93" t="s">
        <v>232</v>
      </c>
      <c r="E3" s="93" t="s">
        <v>233</v>
      </c>
      <c r="F3" s="93" t="s">
        <v>234</v>
      </c>
      <c r="G3" s="93" t="s">
        <v>235</v>
      </c>
      <c r="H3" s="93" t="s">
        <v>236</v>
      </c>
      <c r="I3" s="93" t="s">
        <v>237</v>
      </c>
      <c r="J3" s="93" t="s">
        <v>238</v>
      </c>
      <c r="K3" s="93" t="s">
        <v>239</v>
      </c>
      <c r="L3" s="92" t="s">
        <v>240</v>
      </c>
      <c r="M3" s="93" t="s">
        <v>241</v>
      </c>
      <c r="N3" s="94" t="s">
        <v>242</v>
      </c>
      <c r="O3" s="94" t="s">
        <v>243</v>
      </c>
      <c r="P3" s="80" t="s">
        <v>244</v>
      </c>
      <c r="Q3" s="95" t="s">
        <v>245</v>
      </c>
      <c r="R3" s="96"/>
      <c r="S3" s="96"/>
      <c r="T3" s="96"/>
      <c r="U3" s="96"/>
      <c r="V3" s="96"/>
      <c r="W3" s="96"/>
      <c r="X3" s="96"/>
      <c r="Y3" s="96"/>
      <c r="Z3" s="96"/>
      <c r="AA3" s="96"/>
      <c r="AB3" s="96"/>
      <c r="AC3" s="96"/>
      <c r="AD3" s="96"/>
      <c r="AE3" s="96"/>
      <c r="AF3" s="96"/>
      <c r="AG3" s="96"/>
      <c r="AH3" s="96"/>
      <c r="AI3" s="96"/>
      <c r="AJ3" s="96"/>
      <c r="AK3" s="96"/>
      <c r="AL3" s="96"/>
      <c r="AM3" s="96"/>
      <c r="AN3" s="96"/>
      <c r="AO3" s="96"/>
      <c r="AP3" s="96"/>
      <c r="AQ3" s="96"/>
      <c r="AR3" s="96"/>
      <c r="AS3" s="96"/>
      <c r="AT3" s="96"/>
      <c r="AU3" s="96"/>
      <c r="AV3" s="96"/>
      <c r="AW3" s="96"/>
      <c r="AX3" s="96"/>
      <c r="AY3" s="96"/>
      <c r="AZ3" s="96"/>
      <c r="BA3" s="96"/>
      <c r="BB3" s="96"/>
      <c r="BC3" s="96"/>
      <c r="BD3" s="96"/>
      <c r="BE3" s="96"/>
      <c r="BF3" s="96"/>
      <c r="BG3" s="96"/>
      <c r="BH3" s="96"/>
      <c r="BI3" s="96"/>
      <c r="BJ3" s="96"/>
      <c r="BK3" s="96"/>
      <c r="BL3" s="96"/>
      <c r="BM3" s="96"/>
      <c r="BN3" s="96"/>
      <c r="BO3" s="96"/>
      <c r="BP3" s="96"/>
      <c r="BQ3" s="96"/>
      <c r="BR3" s="96"/>
      <c r="BS3" s="96"/>
      <c r="BT3" s="96"/>
      <c r="BU3" s="96"/>
      <c r="BV3" s="96"/>
      <c r="BW3" s="96"/>
      <c r="BX3" s="96"/>
      <c r="BY3" s="96"/>
      <c r="BZ3" s="96"/>
      <c r="CA3" s="96"/>
      <c r="CB3" s="96"/>
      <c r="CC3" s="96"/>
      <c r="CD3" s="96"/>
      <c r="CE3" s="96"/>
      <c r="CF3" s="96"/>
      <c r="CG3" s="96"/>
      <c r="CH3" s="96"/>
      <c r="CI3" s="96"/>
      <c r="CJ3" s="96"/>
      <c r="CK3" s="96"/>
      <c r="CL3" s="96"/>
      <c r="CM3" s="96"/>
      <c r="CN3" s="96"/>
      <c r="CO3" s="96"/>
      <c r="CP3" s="96"/>
      <c r="CQ3" s="96"/>
      <c r="CR3" s="96"/>
      <c r="CS3" s="96"/>
      <c r="CT3" s="96"/>
      <c r="CU3" s="96"/>
      <c r="CV3" s="96"/>
      <c r="CW3" s="96"/>
      <c r="CX3" s="96"/>
      <c r="CY3" s="96"/>
      <c r="CZ3" s="96"/>
      <c r="DA3" s="96"/>
      <c r="DB3" s="96"/>
      <c r="DC3" s="96"/>
      <c r="DD3" s="96"/>
      <c r="DE3" s="96"/>
      <c r="DF3" s="96"/>
      <c r="DG3" s="96"/>
      <c r="DH3" s="96"/>
      <c r="DI3" s="96"/>
      <c r="DJ3" s="96"/>
      <c r="DK3" s="96"/>
      <c r="DL3" s="96"/>
      <c r="DM3" s="96"/>
      <c r="DN3" s="96"/>
      <c r="DO3" s="96"/>
      <c r="DP3" s="96"/>
      <c r="DQ3" s="96"/>
      <c r="DR3" s="96"/>
      <c r="DS3" s="96"/>
      <c r="DT3" s="96"/>
      <c r="DU3" s="96"/>
      <c r="DV3" s="96"/>
      <c r="DW3" s="96"/>
      <c r="DX3" s="96"/>
      <c r="DY3" s="96"/>
      <c r="DZ3" s="96"/>
      <c r="EA3" s="96"/>
      <c r="EB3" s="96"/>
      <c r="EC3" s="96"/>
      <c r="ED3" s="96"/>
      <c r="EE3" s="96"/>
      <c r="EF3" s="96"/>
      <c r="EG3" s="96"/>
      <c r="EH3" s="96"/>
      <c r="EI3" s="96"/>
      <c r="EJ3" s="96"/>
      <c r="EK3" s="96"/>
      <c r="EL3" s="96"/>
      <c r="EM3" s="96"/>
      <c r="EN3" s="96"/>
      <c r="EO3" s="96"/>
      <c r="EP3" s="96"/>
      <c r="EQ3" s="96"/>
      <c r="ER3" s="96"/>
      <c r="ES3" s="96"/>
      <c r="ET3" s="96"/>
      <c r="EU3" s="96"/>
      <c r="EV3" s="96"/>
      <c r="EW3" s="96"/>
      <c r="EX3" s="96"/>
      <c r="EY3" s="96"/>
      <c r="EZ3" s="96"/>
      <c r="FA3" s="96"/>
      <c r="FB3" s="96"/>
      <c r="FC3" s="96"/>
      <c r="FD3" s="96"/>
      <c r="FE3" s="96"/>
      <c r="FF3" s="96"/>
      <c r="FG3" s="96"/>
      <c r="FH3" s="96"/>
      <c r="FI3" s="96"/>
      <c r="FJ3" s="96"/>
      <c r="FK3" s="96"/>
      <c r="FL3" s="96"/>
      <c r="FM3" s="96"/>
      <c r="FN3" s="96"/>
      <c r="FO3" s="96"/>
      <c r="FP3" s="96"/>
      <c r="FQ3" s="96"/>
      <c r="FR3" s="96"/>
      <c r="FS3" s="96"/>
      <c r="FT3" s="96"/>
      <c r="FU3" s="96"/>
      <c r="FV3" s="96"/>
      <c r="FW3" s="96"/>
      <c r="FX3" s="96"/>
      <c r="FY3" s="96"/>
      <c r="FZ3" s="96"/>
      <c r="GA3" s="96"/>
      <c r="GB3" s="96"/>
      <c r="GC3" s="96"/>
      <c r="GD3" s="96"/>
      <c r="GE3" s="96"/>
      <c r="GF3" s="96"/>
      <c r="GG3" s="96"/>
      <c r="GH3" s="96"/>
      <c r="GI3" s="96"/>
      <c r="GJ3" s="96"/>
      <c r="GK3" s="96"/>
      <c r="GL3" s="96"/>
      <c r="GM3" s="96"/>
      <c r="GN3" s="96"/>
      <c r="GO3" s="96"/>
      <c r="GP3" s="96"/>
      <c r="GQ3" s="96"/>
      <c r="GR3" s="96"/>
      <c r="GS3" s="96"/>
      <c r="GT3" s="96"/>
      <c r="GU3" s="96"/>
      <c r="GV3" s="96"/>
      <c r="GW3" s="96"/>
      <c r="GX3" s="96"/>
      <c r="GY3" s="96"/>
      <c r="GZ3" s="96"/>
      <c r="HA3" s="96"/>
      <c r="HB3" s="96"/>
      <c r="HC3" s="96"/>
      <c r="HD3" s="96"/>
      <c r="HE3" s="96"/>
      <c r="HF3" s="96"/>
      <c r="HG3" s="96"/>
      <c r="HH3" s="96"/>
      <c r="HI3" s="96"/>
      <c r="HJ3" s="96"/>
      <c r="HK3" s="96"/>
      <c r="HL3" s="96"/>
      <c r="HM3" s="96"/>
      <c r="HN3" s="96"/>
      <c r="HO3" s="96"/>
      <c r="HP3" s="96"/>
      <c r="HQ3" s="96"/>
      <c r="HR3" s="96"/>
      <c r="HS3" s="96"/>
      <c r="HT3" s="96"/>
      <c r="HU3" s="96"/>
      <c r="HV3" s="96"/>
      <c r="HW3" s="96"/>
      <c r="HX3" s="96"/>
      <c r="HY3" s="96"/>
      <c r="HZ3" s="96"/>
      <c r="IA3" s="96"/>
      <c r="IB3" s="96"/>
      <c r="IC3" s="96"/>
      <c r="ID3" s="96"/>
      <c r="IE3" s="96"/>
      <c r="IF3" s="96"/>
      <c r="IG3" s="96"/>
      <c r="IH3" s="96"/>
      <c r="II3" s="96"/>
      <c r="IJ3" s="96"/>
      <c r="IK3" s="96"/>
      <c r="IL3" s="96"/>
      <c r="IM3" s="96"/>
      <c r="IN3" s="96"/>
      <c r="IO3" s="96"/>
      <c r="IP3" s="96"/>
      <c r="IQ3" s="96"/>
      <c r="IR3" s="96"/>
      <c r="IS3" s="96"/>
      <c r="IT3" s="96"/>
      <c r="IU3" s="96"/>
      <c r="IV3" s="96"/>
      <c r="IW3" s="96"/>
    </row>
    <row r="4" s="97" customFormat="true" ht="23.1" hidden="false" customHeight="false" outlineLevel="0" collapsed="false">
      <c r="A4" s="98" t="s">
        <v>5</v>
      </c>
      <c r="B4" s="98" t="s">
        <v>246</v>
      </c>
      <c r="C4" s="98" t="n">
        <v>60</v>
      </c>
      <c r="D4" s="98" t="n">
        <v>0.5</v>
      </c>
      <c r="E4" s="98" t="n">
        <v>5</v>
      </c>
      <c r="F4" s="98" t="n">
        <v>60</v>
      </c>
      <c r="G4" s="98" t="n">
        <v>12</v>
      </c>
      <c r="H4" s="98" t="n">
        <v>0.83</v>
      </c>
      <c r="I4" s="98" t="n">
        <v>300</v>
      </c>
      <c r="J4" s="98" t="s">
        <v>247</v>
      </c>
      <c r="K4" s="98" t="s">
        <v>248</v>
      </c>
      <c r="L4" s="99" t="s">
        <v>249</v>
      </c>
      <c r="M4" s="98" t="n">
        <v>150</v>
      </c>
      <c r="N4" s="100" t="s">
        <v>250</v>
      </c>
      <c r="O4" s="100" t="n">
        <v>0.4</v>
      </c>
      <c r="P4" s="101" t="s">
        <v>251</v>
      </c>
      <c r="Q4" s="101" t="n">
        <v>2.5</v>
      </c>
      <c r="R4" s="96"/>
      <c r="S4" s="96"/>
      <c r="T4" s="96"/>
      <c r="U4" s="96"/>
      <c r="V4" s="96"/>
      <c r="W4" s="96"/>
      <c r="X4" s="96"/>
      <c r="Y4" s="96"/>
      <c r="Z4" s="96"/>
      <c r="AA4" s="96"/>
      <c r="AB4" s="96"/>
      <c r="AC4" s="96"/>
      <c r="AD4" s="96"/>
      <c r="AE4" s="96"/>
      <c r="AF4" s="96"/>
      <c r="AG4" s="96"/>
      <c r="AH4" s="96"/>
      <c r="AI4" s="96"/>
      <c r="AJ4" s="96"/>
      <c r="AK4" s="96"/>
      <c r="AL4" s="96"/>
      <c r="AM4" s="96"/>
      <c r="AN4" s="96"/>
      <c r="AO4" s="96"/>
      <c r="AP4" s="96"/>
      <c r="AQ4" s="96"/>
      <c r="AR4" s="96"/>
      <c r="AS4" s="96"/>
      <c r="AT4" s="96"/>
      <c r="AU4" s="96"/>
      <c r="AV4" s="96"/>
      <c r="AW4" s="96"/>
      <c r="AX4" s="96"/>
      <c r="AY4" s="96"/>
      <c r="AZ4" s="96"/>
      <c r="BA4" s="96"/>
      <c r="BB4" s="96"/>
      <c r="BC4" s="96"/>
      <c r="BD4" s="96"/>
      <c r="BE4" s="96"/>
      <c r="BF4" s="96"/>
      <c r="BG4" s="96"/>
      <c r="BH4" s="96"/>
      <c r="BI4" s="96"/>
      <c r="BJ4" s="96"/>
      <c r="BK4" s="96"/>
      <c r="BL4" s="96"/>
      <c r="BM4" s="96"/>
      <c r="BN4" s="96"/>
      <c r="BO4" s="96"/>
      <c r="BP4" s="96"/>
      <c r="BQ4" s="96"/>
      <c r="BR4" s="96"/>
      <c r="BS4" s="96"/>
      <c r="BT4" s="96"/>
      <c r="BU4" s="96"/>
      <c r="BV4" s="96"/>
      <c r="BW4" s="96"/>
      <c r="BX4" s="96"/>
      <c r="BY4" s="96"/>
      <c r="BZ4" s="96"/>
      <c r="CA4" s="96"/>
      <c r="CB4" s="96"/>
      <c r="CC4" s="96"/>
      <c r="CD4" s="96"/>
      <c r="CE4" s="96"/>
      <c r="CF4" s="96"/>
      <c r="CG4" s="96"/>
      <c r="CH4" s="96"/>
      <c r="CI4" s="96"/>
      <c r="CJ4" s="96"/>
      <c r="CK4" s="96"/>
      <c r="CL4" s="96"/>
      <c r="CM4" s="96"/>
      <c r="CN4" s="96"/>
      <c r="CO4" s="96"/>
      <c r="CP4" s="96"/>
      <c r="CQ4" s="96"/>
      <c r="CR4" s="96"/>
      <c r="CS4" s="96"/>
      <c r="CT4" s="96"/>
      <c r="CU4" s="96"/>
      <c r="CV4" s="96"/>
      <c r="CW4" s="96"/>
      <c r="CX4" s="96"/>
      <c r="CY4" s="96"/>
      <c r="CZ4" s="96"/>
      <c r="DA4" s="96"/>
      <c r="DB4" s="96"/>
      <c r="DC4" s="96"/>
      <c r="DD4" s="96"/>
      <c r="DE4" s="96"/>
      <c r="DF4" s="96"/>
      <c r="DG4" s="96"/>
      <c r="DH4" s="96"/>
      <c r="DI4" s="96"/>
      <c r="DJ4" s="96"/>
      <c r="DK4" s="96"/>
      <c r="DL4" s="96"/>
      <c r="DM4" s="96"/>
      <c r="DN4" s="96"/>
      <c r="DO4" s="96"/>
      <c r="DP4" s="96"/>
      <c r="DQ4" s="96"/>
      <c r="DR4" s="96"/>
      <c r="DS4" s="96"/>
      <c r="DT4" s="96"/>
      <c r="DU4" s="96"/>
      <c r="DV4" s="96"/>
      <c r="DW4" s="96"/>
      <c r="DX4" s="96"/>
      <c r="DY4" s="96"/>
      <c r="DZ4" s="96"/>
      <c r="EA4" s="96"/>
      <c r="EB4" s="96"/>
      <c r="EC4" s="96"/>
      <c r="ED4" s="96"/>
      <c r="EE4" s="96"/>
      <c r="EF4" s="96"/>
      <c r="EG4" s="96"/>
      <c r="EH4" s="96"/>
      <c r="EI4" s="96"/>
      <c r="EJ4" s="96"/>
      <c r="EK4" s="96"/>
      <c r="EL4" s="96"/>
      <c r="EM4" s="96"/>
      <c r="EN4" s="96"/>
      <c r="EO4" s="96"/>
      <c r="EP4" s="96"/>
      <c r="EQ4" s="96"/>
      <c r="ER4" s="96"/>
      <c r="ES4" s="96"/>
      <c r="ET4" s="96"/>
      <c r="EU4" s="96"/>
      <c r="EV4" s="96"/>
      <c r="EW4" s="96"/>
      <c r="EX4" s="96"/>
      <c r="EY4" s="96"/>
      <c r="EZ4" s="96"/>
      <c r="FA4" s="96"/>
      <c r="FB4" s="96"/>
      <c r="FC4" s="96"/>
      <c r="FD4" s="96"/>
      <c r="FE4" s="96"/>
      <c r="FF4" s="96"/>
      <c r="FG4" s="96"/>
      <c r="FH4" s="96"/>
      <c r="FI4" s="96"/>
      <c r="FJ4" s="96"/>
      <c r="FK4" s="96"/>
      <c r="FL4" s="96"/>
      <c r="FM4" s="96"/>
      <c r="FN4" s="96"/>
      <c r="FO4" s="96"/>
      <c r="FP4" s="96"/>
      <c r="FQ4" s="96"/>
      <c r="FR4" s="96"/>
      <c r="FS4" s="96"/>
      <c r="FT4" s="96"/>
      <c r="FU4" s="96"/>
      <c r="FV4" s="96"/>
      <c r="FW4" s="96"/>
      <c r="FX4" s="96"/>
      <c r="FY4" s="96"/>
      <c r="FZ4" s="96"/>
      <c r="GA4" s="96"/>
      <c r="GB4" s="96"/>
      <c r="GC4" s="96"/>
      <c r="GD4" s="96"/>
      <c r="GE4" s="96"/>
      <c r="GF4" s="96"/>
      <c r="GG4" s="96"/>
      <c r="GH4" s="96"/>
      <c r="GI4" s="96"/>
      <c r="GJ4" s="96"/>
      <c r="GK4" s="96"/>
      <c r="GL4" s="96"/>
      <c r="GM4" s="96"/>
      <c r="GN4" s="96"/>
      <c r="GO4" s="96"/>
      <c r="GP4" s="96"/>
      <c r="GQ4" s="96"/>
      <c r="GR4" s="96"/>
      <c r="GS4" s="96"/>
      <c r="GT4" s="96"/>
      <c r="GU4" s="96"/>
      <c r="GV4" s="96"/>
      <c r="GW4" s="96"/>
      <c r="GX4" s="96"/>
      <c r="GY4" s="96"/>
      <c r="GZ4" s="96"/>
      <c r="HA4" s="96"/>
      <c r="HB4" s="96"/>
      <c r="HC4" s="96"/>
      <c r="HD4" s="96"/>
      <c r="HE4" s="96"/>
      <c r="HF4" s="96"/>
      <c r="HG4" s="96"/>
      <c r="HH4" s="96"/>
      <c r="HI4" s="96"/>
      <c r="HJ4" s="96"/>
      <c r="HK4" s="96"/>
      <c r="HL4" s="96"/>
      <c r="HM4" s="96"/>
      <c r="HN4" s="96"/>
      <c r="HO4" s="96"/>
      <c r="HP4" s="96"/>
      <c r="HQ4" s="96"/>
      <c r="HR4" s="96"/>
      <c r="HS4" s="96"/>
      <c r="HT4" s="96"/>
      <c r="HU4" s="96"/>
      <c r="HV4" s="96"/>
      <c r="HW4" s="96"/>
      <c r="HX4" s="96"/>
      <c r="HY4" s="96"/>
      <c r="HZ4" s="96"/>
      <c r="IA4" s="96"/>
      <c r="IB4" s="96"/>
      <c r="IC4" s="96"/>
      <c r="ID4" s="96"/>
      <c r="IE4" s="96"/>
      <c r="IF4" s="96"/>
      <c r="IG4" s="96"/>
      <c r="IH4" s="96"/>
      <c r="II4" s="96"/>
      <c r="IJ4" s="96"/>
      <c r="IK4" s="96"/>
      <c r="IL4" s="96"/>
      <c r="IM4" s="96"/>
      <c r="IN4" s="96"/>
      <c r="IO4" s="96"/>
      <c r="IP4" s="96"/>
      <c r="IQ4" s="96"/>
      <c r="IR4" s="96"/>
      <c r="IS4" s="96"/>
      <c r="IT4" s="96"/>
      <c r="IU4" s="96"/>
      <c r="IV4" s="96"/>
      <c r="IW4" s="96"/>
    </row>
    <row r="5" s="97" customFormat="true" ht="23.1" hidden="false" customHeight="false" outlineLevel="0" collapsed="false">
      <c r="A5" s="98" t="s">
        <v>252</v>
      </c>
      <c r="B5" s="98" t="s">
        <v>246</v>
      </c>
      <c r="C5" s="98" t="n">
        <v>60</v>
      </c>
      <c r="D5" s="98" t="n">
        <v>0.2</v>
      </c>
      <c r="E5" s="98" t="n">
        <v>5.3</v>
      </c>
      <c r="F5" s="98" t="n">
        <v>50</v>
      </c>
      <c r="G5" s="98" t="n">
        <v>10</v>
      </c>
      <c r="H5" s="98" t="n">
        <v>0.4</v>
      </c>
      <c r="I5" s="98" t="n">
        <v>200</v>
      </c>
      <c r="J5" s="98" t="s">
        <v>253</v>
      </c>
      <c r="K5" s="98" t="s">
        <v>254</v>
      </c>
      <c r="L5" s="99" t="s">
        <v>255</v>
      </c>
      <c r="M5" s="98" t="n">
        <v>150</v>
      </c>
      <c r="N5" s="100" t="s">
        <v>256</v>
      </c>
      <c r="O5" s="100" t="n">
        <v>0.4</v>
      </c>
      <c r="P5" s="101" t="s">
        <v>251</v>
      </c>
      <c r="Q5" s="101" t="n">
        <v>2.5</v>
      </c>
      <c r="R5" s="96"/>
      <c r="S5" s="96"/>
      <c r="T5" s="96"/>
      <c r="U5" s="96"/>
      <c r="V5" s="96"/>
      <c r="W5" s="96"/>
      <c r="X5" s="96"/>
      <c r="Y5" s="96"/>
      <c r="Z5" s="96"/>
      <c r="AA5" s="96"/>
      <c r="AB5" s="96"/>
      <c r="AC5" s="96"/>
      <c r="AD5" s="96"/>
      <c r="AE5" s="96"/>
      <c r="AF5" s="96"/>
      <c r="AG5" s="96"/>
      <c r="AH5" s="96"/>
      <c r="AI5" s="96"/>
      <c r="AJ5" s="96"/>
      <c r="AK5" s="96"/>
      <c r="AL5" s="96"/>
      <c r="AM5" s="96"/>
      <c r="AN5" s="96"/>
      <c r="AO5" s="96"/>
      <c r="AP5" s="96"/>
      <c r="AQ5" s="96"/>
      <c r="AR5" s="96"/>
      <c r="AS5" s="96"/>
      <c r="AT5" s="96"/>
      <c r="AU5" s="96"/>
      <c r="AV5" s="96"/>
      <c r="AW5" s="96"/>
      <c r="AX5" s="96"/>
      <c r="AY5" s="96"/>
      <c r="AZ5" s="96"/>
      <c r="BA5" s="96"/>
      <c r="BB5" s="96"/>
      <c r="BC5" s="96"/>
      <c r="BD5" s="96"/>
      <c r="BE5" s="96"/>
      <c r="BF5" s="96"/>
      <c r="BG5" s="96"/>
      <c r="BH5" s="96"/>
      <c r="BI5" s="96"/>
      <c r="BJ5" s="96"/>
      <c r="BK5" s="96"/>
      <c r="BL5" s="96"/>
      <c r="BM5" s="96"/>
      <c r="BN5" s="96"/>
      <c r="BO5" s="96"/>
      <c r="BP5" s="96"/>
      <c r="BQ5" s="96"/>
      <c r="BR5" s="96"/>
      <c r="BS5" s="96"/>
      <c r="BT5" s="96"/>
      <c r="BU5" s="96"/>
      <c r="BV5" s="96"/>
      <c r="BW5" s="96"/>
      <c r="BX5" s="96"/>
      <c r="BY5" s="96"/>
      <c r="BZ5" s="96"/>
      <c r="CA5" s="96"/>
      <c r="CB5" s="96"/>
      <c r="CC5" s="96"/>
      <c r="CD5" s="96"/>
      <c r="CE5" s="96"/>
      <c r="CF5" s="96"/>
      <c r="CG5" s="96"/>
      <c r="CH5" s="96"/>
      <c r="CI5" s="96"/>
      <c r="CJ5" s="96"/>
      <c r="CK5" s="96"/>
      <c r="CL5" s="96"/>
      <c r="CM5" s="96"/>
      <c r="CN5" s="96"/>
      <c r="CO5" s="96"/>
      <c r="CP5" s="96"/>
      <c r="CQ5" s="96"/>
      <c r="CR5" s="96"/>
      <c r="CS5" s="96"/>
      <c r="CT5" s="96"/>
      <c r="CU5" s="96"/>
      <c r="CV5" s="96"/>
      <c r="CW5" s="96"/>
      <c r="CX5" s="96"/>
      <c r="CY5" s="96"/>
      <c r="CZ5" s="96"/>
      <c r="DA5" s="96"/>
      <c r="DB5" s="96"/>
      <c r="DC5" s="96"/>
      <c r="DD5" s="96"/>
      <c r="DE5" s="96"/>
      <c r="DF5" s="96"/>
      <c r="DG5" s="96"/>
      <c r="DH5" s="96"/>
      <c r="DI5" s="96"/>
      <c r="DJ5" s="96"/>
      <c r="DK5" s="96"/>
      <c r="DL5" s="96"/>
      <c r="DM5" s="96"/>
      <c r="DN5" s="96"/>
      <c r="DO5" s="96"/>
      <c r="DP5" s="96"/>
      <c r="DQ5" s="96"/>
      <c r="DR5" s="96"/>
      <c r="DS5" s="96"/>
      <c r="DT5" s="96"/>
      <c r="DU5" s="96"/>
      <c r="DV5" s="96"/>
      <c r="DW5" s="96"/>
      <c r="DX5" s="96"/>
      <c r="DY5" s="96"/>
      <c r="DZ5" s="96"/>
      <c r="EA5" s="96"/>
      <c r="EB5" s="96"/>
      <c r="EC5" s="96"/>
      <c r="ED5" s="96"/>
      <c r="EE5" s="96"/>
      <c r="EF5" s="96"/>
      <c r="EG5" s="96"/>
      <c r="EH5" s="96"/>
      <c r="EI5" s="96"/>
      <c r="EJ5" s="96"/>
      <c r="EK5" s="96"/>
      <c r="EL5" s="96"/>
      <c r="EM5" s="96"/>
      <c r="EN5" s="96"/>
      <c r="EO5" s="96"/>
      <c r="EP5" s="96"/>
      <c r="EQ5" s="96"/>
      <c r="ER5" s="96"/>
      <c r="ES5" s="96"/>
      <c r="ET5" s="96"/>
      <c r="EU5" s="96"/>
      <c r="EV5" s="96"/>
      <c r="EW5" s="96"/>
      <c r="EX5" s="96"/>
      <c r="EY5" s="96"/>
      <c r="EZ5" s="96"/>
      <c r="FA5" s="96"/>
      <c r="FB5" s="96"/>
      <c r="FC5" s="96"/>
      <c r="FD5" s="96"/>
      <c r="FE5" s="96"/>
      <c r="FF5" s="96"/>
      <c r="FG5" s="96"/>
      <c r="FH5" s="96"/>
      <c r="FI5" s="96"/>
      <c r="FJ5" s="96"/>
      <c r="FK5" s="96"/>
      <c r="FL5" s="96"/>
      <c r="FM5" s="96"/>
      <c r="FN5" s="96"/>
      <c r="FO5" s="96"/>
      <c r="FP5" s="96"/>
      <c r="FQ5" s="96"/>
      <c r="FR5" s="96"/>
      <c r="FS5" s="96"/>
      <c r="FT5" s="96"/>
      <c r="FU5" s="96"/>
      <c r="FV5" s="96"/>
      <c r="FW5" s="96"/>
      <c r="FX5" s="96"/>
      <c r="FY5" s="96"/>
      <c r="FZ5" s="96"/>
      <c r="GA5" s="96"/>
      <c r="GB5" s="96"/>
      <c r="GC5" s="96"/>
      <c r="GD5" s="96"/>
      <c r="GE5" s="96"/>
      <c r="GF5" s="96"/>
      <c r="GG5" s="96"/>
      <c r="GH5" s="96"/>
      <c r="GI5" s="96"/>
      <c r="GJ5" s="96"/>
      <c r="GK5" s="96"/>
      <c r="GL5" s="96"/>
      <c r="GM5" s="96"/>
      <c r="GN5" s="96"/>
      <c r="GO5" s="96"/>
      <c r="GP5" s="96"/>
      <c r="GQ5" s="96"/>
      <c r="GR5" s="96"/>
      <c r="GS5" s="96"/>
      <c r="GT5" s="96"/>
      <c r="GU5" s="96"/>
      <c r="GV5" s="96"/>
      <c r="GW5" s="96"/>
      <c r="GX5" s="96"/>
      <c r="GY5" s="96"/>
      <c r="GZ5" s="96"/>
      <c r="HA5" s="96"/>
      <c r="HB5" s="96"/>
      <c r="HC5" s="96"/>
      <c r="HD5" s="96"/>
      <c r="HE5" s="96"/>
      <c r="HF5" s="96"/>
      <c r="HG5" s="96"/>
      <c r="HH5" s="96"/>
      <c r="HI5" s="96"/>
      <c r="HJ5" s="96"/>
      <c r="HK5" s="96"/>
      <c r="HL5" s="96"/>
      <c r="HM5" s="96"/>
      <c r="HN5" s="96"/>
      <c r="HO5" s="96"/>
      <c r="HP5" s="96"/>
      <c r="HQ5" s="96"/>
      <c r="HR5" s="96"/>
      <c r="HS5" s="96"/>
      <c r="HT5" s="96"/>
      <c r="HU5" s="96"/>
      <c r="HV5" s="96"/>
      <c r="HW5" s="96"/>
      <c r="HX5" s="96"/>
      <c r="HY5" s="96"/>
      <c r="HZ5" s="96"/>
      <c r="IA5" s="96"/>
      <c r="IB5" s="96"/>
      <c r="IC5" s="96"/>
      <c r="ID5" s="96"/>
      <c r="IE5" s="96"/>
      <c r="IF5" s="96"/>
      <c r="IG5" s="96"/>
      <c r="IH5" s="96"/>
      <c r="II5" s="96"/>
      <c r="IJ5" s="96"/>
      <c r="IK5" s="96"/>
      <c r="IL5" s="96"/>
      <c r="IM5" s="96"/>
      <c r="IN5" s="96"/>
      <c r="IO5" s="96"/>
      <c r="IP5" s="96"/>
      <c r="IQ5" s="96"/>
      <c r="IR5" s="96"/>
      <c r="IS5" s="96"/>
      <c r="IT5" s="96"/>
      <c r="IU5" s="96"/>
      <c r="IV5" s="96"/>
      <c r="IW5" s="96"/>
    </row>
    <row r="6" s="97" customFormat="true" ht="23.1" hidden="false" customHeight="false" outlineLevel="0" collapsed="false">
      <c r="A6" s="98" t="s">
        <v>257</v>
      </c>
      <c r="B6" s="98" t="s">
        <v>258</v>
      </c>
      <c r="C6" s="98" t="n">
        <v>100</v>
      </c>
      <c r="D6" s="98" t="n">
        <v>5.6</v>
      </c>
      <c r="E6" s="98" t="n">
        <v>0.54</v>
      </c>
      <c r="F6" s="98" t="n">
        <v>135</v>
      </c>
      <c r="G6" s="98" t="n">
        <v>100</v>
      </c>
      <c r="H6" s="98" t="n">
        <v>43</v>
      </c>
      <c r="I6" s="98" t="n">
        <v>50</v>
      </c>
      <c r="J6" s="98" t="s">
        <v>259</v>
      </c>
      <c r="K6" s="98" t="s">
        <v>260</v>
      </c>
      <c r="L6" s="99" t="s">
        <v>261</v>
      </c>
      <c r="M6" s="98" t="n">
        <v>150</v>
      </c>
      <c r="N6" s="100" t="s">
        <v>262</v>
      </c>
      <c r="O6" s="100" t="n">
        <v>0.35</v>
      </c>
      <c r="P6" s="101" t="s">
        <v>263</v>
      </c>
      <c r="Q6" s="101" t="n">
        <v>2.3</v>
      </c>
      <c r="R6" s="96"/>
      <c r="S6" s="96"/>
      <c r="T6" s="96"/>
      <c r="U6" s="96"/>
      <c r="V6" s="96"/>
      <c r="W6" s="96"/>
      <c r="X6" s="96"/>
      <c r="Y6" s="96"/>
      <c r="Z6" s="96"/>
      <c r="AA6" s="96"/>
      <c r="AB6" s="96"/>
      <c r="AC6" s="96"/>
      <c r="AD6" s="96"/>
      <c r="AE6" s="96"/>
      <c r="AF6" s="96"/>
      <c r="AG6" s="96"/>
      <c r="AH6" s="96"/>
      <c r="AI6" s="96"/>
      <c r="AJ6" s="96"/>
      <c r="AK6" s="96"/>
      <c r="AL6" s="96"/>
      <c r="AM6" s="96"/>
      <c r="AN6" s="96"/>
      <c r="AO6" s="96"/>
      <c r="AP6" s="96"/>
      <c r="AQ6" s="96"/>
      <c r="AR6" s="96"/>
      <c r="AS6" s="96"/>
      <c r="AT6" s="96"/>
      <c r="AU6" s="96"/>
      <c r="AV6" s="96"/>
      <c r="AW6" s="96"/>
      <c r="AX6" s="96"/>
      <c r="AY6" s="96"/>
      <c r="AZ6" s="96"/>
      <c r="BA6" s="96"/>
      <c r="BB6" s="96"/>
      <c r="BC6" s="96"/>
      <c r="BD6" s="96"/>
      <c r="BE6" s="96"/>
      <c r="BF6" s="96"/>
      <c r="BG6" s="96"/>
      <c r="BH6" s="96"/>
      <c r="BI6" s="96"/>
      <c r="BJ6" s="96"/>
      <c r="BK6" s="96"/>
      <c r="BL6" s="96"/>
      <c r="BM6" s="96"/>
      <c r="BN6" s="96"/>
      <c r="BO6" s="96"/>
      <c r="BP6" s="96"/>
      <c r="BQ6" s="96"/>
      <c r="BR6" s="96"/>
      <c r="BS6" s="96"/>
      <c r="BT6" s="96"/>
      <c r="BU6" s="96"/>
      <c r="BV6" s="96"/>
      <c r="BW6" s="96"/>
      <c r="BX6" s="96"/>
      <c r="BY6" s="96"/>
      <c r="BZ6" s="96"/>
      <c r="CA6" s="96"/>
      <c r="CB6" s="96"/>
      <c r="CC6" s="96"/>
      <c r="CD6" s="96"/>
      <c r="CE6" s="96"/>
      <c r="CF6" s="96"/>
      <c r="CG6" s="96"/>
      <c r="CH6" s="96"/>
      <c r="CI6" s="96"/>
      <c r="CJ6" s="96"/>
      <c r="CK6" s="96"/>
      <c r="CL6" s="96"/>
      <c r="CM6" s="96"/>
      <c r="CN6" s="96"/>
      <c r="CO6" s="96"/>
      <c r="CP6" s="96"/>
      <c r="CQ6" s="96"/>
      <c r="CR6" s="96"/>
      <c r="CS6" s="96"/>
      <c r="CT6" s="96"/>
      <c r="CU6" s="96"/>
      <c r="CV6" s="96"/>
      <c r="CW6" s="96"/>
      <c r="CX6" s="96"/>
      <c r="CY6" s="96"/>
      <c r="CZ6" s="96"/>
      <c r="DA6" s="96"/>
      <c r="DB6" s="96"/>
      <c r="DC6" s="96"/>
      <c r="DD6" s="96"/>
      <c r="DE6" s="96"/>
      <c r="DF6" s="96"/>
      <c r="DG6" s="96"/>
      <c r="DH6" s="96"/>
      <c r="DI6" s="96"/>
      <c r="DJ6" s="96"/>
      <c r="DK6" s="96"/>
      <c r="DL6" s="96"/>
      <c r="DM6" s="96"/>
      <c r="DN6" s="96"/>
      <c r="DO6" s="96"/>
      <c r="DP6" s="96"/>
      <c r="DQ6" s="96"/>
      <c r="DR6" s="96"/>
      <c r="DS6" s="96"/>
      <c r="DT6" s="96"/>
      <c r="DU6" s="96"/>
      <c r="DV6" s="96"/>
      <c r="DW6" s="96"/>
      <c r="DX6" s="96"/>
      <c r="DY6" s="96"/>
      <c r="DZ6" s="96"/>
      <c r="EA6" s="96"/>
      <c r="EB6" s="96"/>
      <c r="EC6" s="96"/>
      <c r="ED6" s="96"/>
      <c r="EE6" s="96"/>
      <c r="EF6" s="96"/>
      <c r="EG6" s="96"/>
      <c r="EH6" s="96"/>
      <c r="EI6" s="96"/>
      <c r="EJ6" s="96"/>
      <c r="EK6" s="96"/>
      <c r="EL6" s="96"/>
      <c r="EM6" s="96"/>
      <c r="EN6" s="96"/>
      <c r="EO6" s="96"/>
      <c r="EP6" s="96"/>
      <c r="EQ6" s="96"/>
      <c r="ER6" s="96"/>
      <c r="ES6" s="96"/>
      <c r="ET6" s="96"/>
      <c r="EU6" s="96"/>
      <c r="EV6" s="96"/>
      <c r="EW6" s="96"/>
      <c r="EX6" s="96"/>
      <c r="EY6" s="96"/>
      <c r="EZ6" s="96"/>
      <c r="FA6" s="96"/>
      <c r="FB6" s="96"/>
      <c r="FC6" s="96"/>
      <c r="FD6" s="96"/>
      <c r="FE6" s="96"/>
      <c r="FF6" s="96"/>
      <c r="FG6" s="96"/>
      <c r="FH6" s="96"/>
      <c r="FI6" s="96"/>
      <c r="FJ6" s="96"/>
      <c r="FK6" s="96"/>
      <c r="FL6" s="96"/>
      <c r="FM6" s="96"/>
      <c r="FN6" s="96"/>
      <c r="FO6" s="96"/>
      <c r="FP6" s="96"/>
      <c r="FQ6" s="96"/>
      <c r="FR6" s="96"/>
      <c r="FS6" s="96"/>
      <c r="FT6" s="96"/>
      <c r="FU6" s="96"/>
      <c r="FV6" s="96"/>
      <c r="FW6" s="96"/>
      <c r="FX6" s="96"/>
      <c r="FY6" s="96"/>
      <c r="FZ6" s="96"/>
      <c r="GA6" s="96"/>
      <c r="GB6" s="96"/>
      <c r="GC6" s="96"/>
      <c r="GD6" s="96"/>
      <c r="GE6" s="96"/>
      <c r="GF6" s="96"/>
      <c r="GG6" s="96"/>
      <c r="GH6" s="96"/>
      <c r="GI6" s="96"/>
      <c r="GJ6" s="96"/>
      <c r="GK6" s="96"/>
      <c r="GL6" s="96"/>
      <c r="GM6" s="96"/>
      <c r="GN6" s="96"/>
      <c r="GO6" s="96"/>
      <c r="GP6" s="96"/>
      <c r="GQ6" s="96"/>
      <c r="GR6" s="96"/>
      <c r="GS6" s="96"/>
      <c r="GT6" s="96"/>
      <c r="GU6" s="96"/>
      <c r="GV6" s="96"/>
      <c r="GW6" s="96"/>
      <c r="GX6" s="96"/>
      <c r="GY6" s="96"/>
      <c r="GZ6" s="96"/>
      <c r="HA6" s="96"/>
      <c r="HB6" s="96"/>
      <c r="HC6" s="96"/>
      <c r="HD6" s="96"/>
      <c r="HE6" s="96"/>
      <c r="HF6" s="96"/>
      <c r="HG6" s="96"/>
      <c r="HH6" s="96"/>
      <c r="HI6" s="96"/>
      <c r="HJ6" s="96"/>
      <c r="HK6" s="96"/>
      <c r="HL6" s="96"/>
      <c r="HM6" s="96"/>
      <c r="HN6" s="96"/>
      <c r="HO6" s="96"/>
      <c r="HP6" s="96"/>
      <c r="HQ6" s="96"/>
      <c r="HR6" s="96"/>
      <c r="HS6" s="96"/>
      <c r="HT6" s="96"/>
      <c r="HU6" s="96"/>
      <c r="HV6" s="96"/>
      <c r="HW6" s="96"/>
      <c r="HX6" s="96"/>
      <c r="HY6" s="96"/>
      <c r="HZ6" s="96"/>
      <c r="IA6" s="96"/>
      <c r="IB6" s="96"/>
      <c r="IC6" s="96"/>
      <c r="ID6" s="96"/>
      <c r="IE6" s="96"/>
      <c r="IF6" s="96"/>
      <c r="IG6" s="96"/>
      <c r="IH6" s="96"/>
      <c r="II6" s="96"/>
      <c r="IJ6" s="96"/>
      <c r="IK6" s="96"/>
      <c r="IL6" s="96"/>
      <c r="IM6" s="96"/>
      <c r="IN6" s="96"/>
      <c r="IO6" s="96"/>
      <c r="IP6" s="96"/>
      <c r="IQ6" s="96"/>
      <c r="IR6" s="96"/>
      <c r="IS6" s="96"/>
      <c r="IT6" s="96"/>
      <c r="IU6" s="96"/>
      <c r="IV6" s="96"/>
      <c r="IW6" s="96"/>
    </row>
    <row r="7" s="97" customFormat="true" ht="23.1" hidden="false" customHeight="false" outlineLevel="0" collapsed="false">
      <c r="A7" s="98" t="s">
        <v>264</v>
      </c>
      <c r="B7" s="98" t="s">
        <v>258</v>
      </c>
      <c r="C7" s="98" t="n">
        <v>100</v>
      </c>
      <c r="D7" s="98" t="n">
        <v>9.2</v>
      </c>
      <c r="E7" s="98" t="n">
        <v>0.27</v>
      </c>
      <c r="F7" s="98" t="n">
        <v>180</v>
      </c>
      <c r="G7" s="98" t="n">
        <v>135</v>
      </c>
      <c r="H7" s="98" t="n">
        <v>50</v>
      </c>
      <c r="I7" s="98" t="n">
        <v>50</v>
      </c>
      <c r="J7" s="98" t="s">
        <v>265</v>
      </c>
      <c r="K7" s="98" t="s">
        <v>260</v>
      </c>
      <c r="L7" s="99" t="s">
        <v>266</v>
      </c>
      <c r="M7" s="98" t="n">
        <v>150</v>
      </c>
      <c r="N7" s="100" t="s">
        <v>262</v>
      </c>
      <c r="O7" s="100" t="n">
        <v>0.35</v>
      </c>
      <c r="P7" s="101" t="s">
        <v>263</v>
      </c>
      <c r="Q7" s="101" t="n">
        <v>2.3</v>
      </c>
      <c r="R7" s="96"/>
      <c r="S7" s="96"/>
      <c r="T7" s="96"/>
      <c r="U7" s="96"/>
      <c r="V7" s="96"/>
      <c r="W7" s="96"/>
      <c r="X7" s="96"/>
      <c r="Y7" s="96"/>
      <c r="Z7" s="96"/>
      <c r="AA7" s="96"/>
      <c r="AB7" s="96"/>
      <c r="AC7" s="96"/>
      <c r="AD7" s="96"/>
      <c r="AE7" s="96"/>
      <c r="AF7" s="96"/>
      <c r="AG7" s="96"/>
      <c r="AH7" s="96"/>
      <c r="AI7" s="96"/>
      <c r="AJ7" s="96"/>
      <c r="AK7" s="96"/>
      <c r="AL7" s="96"/>
      <c r="AM7" s="96"/>
      <c r="AN7" s="96"/>
      <c r="AO7" s="96"/>
      <c r="AP7" s="96"/>
      <c r="AQ7" s="96"/>
      <c r="AR7" s="96"/>
      <c r="AS7" s="96"/>
      <c r="AT7" s="96"/>
      <c r="AU7" s="96"/>
      <c r="AV7" s="96"/>
      <c r="AW7" s="96"/>
      <c r="AX7" s="96"/>
      <c r="AY7" s="96"/>
      <c r="AZ7" s="96"/>
      <c r="BA7" s="96"/>
      <c r="BB7" s="96"/>
      <c r="BC7" s="96"/>
      <c r="BD7" s="96"/>
      <c r="BE7" s="96"/>
      <c r="BF7" s="96"/>
      <c r="BG7" s="96"/>
      <c r="BH7" s="96"/>
      <c r="BI7" s="96"/>
      <c r="BJ7" s="96"/>
      <c r="BK7" s="96"/>
      <c r="BL7" s="96"/>
      <c r="BM7" s="96"/>
      <c r="BN7" s="96"/>
      <c r="BO7" s="96"/>
      <c r="BP7" s="96"/>
      <c r="BQ7" s="96"/>
      <c r="BR7" s="96"/>
      <c r="BS7" s="96"/>
      <c r="BT7" s="96"/>
      <c r="BU7" s="96"/>
      <c r="BV7" s="96"/>
      <c r="BW7" s="96"/>
      <c r="BX7" s="96"/>
      <c r="BY7" s="96"/>
      <c r="BZ7" s="96"/>
      <c r="CA7" s="96"/>
      <c r="CB7" s="96"/>
      <c r="CC7" s="96"/>
      <c r="CD7" s="96"/>
      <c r="CE7" s="96"/>
      <c r="CF7" s="96"/>
      <c r="CG7" s="96"/>
      <c r="CH7" s="96"/>
      <c r="CI7" s="96"/>
      <c r="CJ7" s="96"/>
      <c r="CK7" s="96"/>
      <c r="CL7" s="96"/>
      <c r="CM7" s="96"/>
      <c r="CN7" s="96"/>
      <c r="CO7" s="96"/>
      <c r="CP7" s="96"/>
      <c r="CQ7" s="96"/>
      <c r="CR7" s="96"/>
      <c r="CS7" s="96"/>
      <c r="CT7" s="96"/>
      <c r="CU7" s="96"/>
      <c r="CV7" s="96"/>
      <c r="CW7" s="96"/>
      <c r="CX7" s="96"/>
      <c r="CY7" s="96"/>
      <c r="CZ7" s="96"/>
      <c r="DA7" s="96"/>
      <c r="DB7" s="96"/>
      <c r="DC7" s="96"/>
      <c r="DD7" s="96"/>
      <c r="DE7" s="96"/>
      <c r="DF7" s="96"/>
      <c r="DG7" s="96"/>
      <c r="DH7" s="96"/>
      <c r="DI7" s="96"/>
      <c r="DJ7" s="96"/>
      <c r="DK7" s="96"/>
      <c r="DL7" s="96"/>
      <c r="DM7" s="96"/>
      <c r="DN7" s="96"/>
      <c r="DO7" s="96"/>
      <c r="DP7" s="96"/>
      <c r="DQ7" s="96"/>
      <c r="DR7" s="96"/>
      <c r="DS7" s="96"/>
      <c r="DT7" s="96"/>
      <c r="DU7" s="96"/>
      <c r="DV7" s="96"/>
      <c r="DW7" s="96"/>
      <c r="DX7" s="96"/>
      <c r="DY7" s="96"/>
      <c r="DZ7" s="96"/>
      <c r="EA7" s="96"/>
      <c r="EB7" s="96"/>
      <c r="EC7" s="96"/>
      <c r="ED7" s="96"/>
      <c r="EE7" s="96"/>
      <c r="EF7" s="96"/>
      <c r="EG7" s="96"/>
      <c r="EH7" s="96"/>
      <c r="EI7" s="96"/>
      <c r="EJ7" s="96"/>
      <c r="EK7" s="96"/>
      <c r="EL7" s="96"/>
      <c r="EM7" s="96"/>
      <c r="EN7" s="96"/>
      <c r="EO7" s="96"/>
      <c r="EP7" s="96"/>
      <c r="EQ7" s="96"/>
      <c r="ER7" s="96"/>
      <c r="ES7" s="96"/>
      <c r="ET7" s="96"/>
      <c r="EU7" s="96"/>
      <c r="EV7" s="96"/>
      <c r="EW7" s="96"/>
      <c r="EX7" s="96"/>
      <c r="EY7" s="96"/>
      <c r="EZ7" s="96"/>
      <c r="FA7" s="96"/>
      <c r="FB7" s="96"/>
      <c r="FC7" s="96"/>
      <c r="FD7" s="96"/>
      <c r="FE7" s="96"/>
      <c r="FF7" s="96"/>
      <c r="FG7" s="96"/>
      <c r="FH7" s="96"/>
      <c r="FI7" s="96"/>
      <c r="FJ7" s="96"/>
      <c r="FK7" s="96"/>
      <c r="FL7" s="96"/>
      <c r="FM7" s="96"/>
      <c r="FN7" s="96"/>
      <c r="FO7" s="96"/>
      <c r="FP7" s="96"/>
      <c r="FQ7" s="96"/>
      <c r="FR7" s="96"/>
      <c r="FS7" s="96"/>
      <c r="FT7" s="96"/>
      <c r="FU7" s="96"/>
      <c r="FV7" s="96"/>
      <c r="FW7" s="96"/>
      <c r="FX7" s="96"/>
      <c r="FY7" s="96"/>
      <c r="FZ7" s="96"/>
      <c r="GA7" s="96"/>
      <c r="GB7" s="96"/>
      <c r="GC7" s="96"/>
      <c r="GD7" s="96"/>
      <c r="GE7" s="96"/>
      <c r="GF7" s="96"/>
      <c r="GG7" s="96"/>
      <c r="GH7" s="96"/>
      <c r="GI7" s="96"/>
      <c r="GJ7" s="96"/>
      <c r="GK7" s="96"/>
      <c r="GL7" s="96"/>
      <c r="GM7" s="96"/>
      <c r="GN7" s="96"/>
      <c r="GO7" s="96"/>
      <c r="GP7" s="96"/>
      <c r="GQ7" s="96"/>
      <c r="GR7" s="96"/>
      <c r="GS7" s="96"/>
      <c r="GT7" s="96"/>
      <c r="GU7" s="96"/>
      <c r="GV7" s="96"/>
      <c r="GW7" s="96"/>
      <c r="GX7" s="96"/>
      <c r="GY7" s="96"/>
      <c r="GZ7" s="96"/>
      <c r="HA7" s="96"/>
      <c r="HB7" s="96"/>
      <c r="HC7" s="96"/>
      <c r="HD7" s="96"/>
      <c r="HE7" s="96"/>
      <c r="HF7" s="96"/>
      <c r="HG7" s="96"/>
      <c r="HH7" s="96"/>
      <c r="HI7" s="96"/>
      <c r="HJ7" s="96"/>
      <c r="HK7" s="96"/>
      <c r="HL7" s="96"/>
      <c r="HM7" s="96"/>
      <c r="HN7" s="96"/>
      <c r="HO7" s="96"/>
      <c r="HP7" s="96"/>
      <c r="HQ7" s="96"/>
      <c r="HR7" s="96"/>
      <c r="HS7" s="96"/>
      <c r="HT7" s="96"/>
      <c r="HU7" s="96"/>
      <c r="HV7" s="96"/>
      <c r="HW7" s="96"/>
      <c r="HX7" s="96"/>
      <c r="HY7" s="96"/>
      <c r="HZ7" s="96"/>
      <c r="IA7" s="96"/>
      <c r="IB7" s="96"/>
      <c r="IC7" s="96"/>
      <c r="ID7" s="96"/>
      <c r="IE7" s="96"/>
      <c r="IF7" s="96"/>
      <c r="IG7" s="96"/>
      <c r="IH7" s="96"/>
      <c r="II7" s="96"/>
      <c r="IJ7" s="96"/>
      <c r="IK7" s="96"/>
      <c r="IL7" s="96"/>
      <c r="IM7" s="96"/>
      <c r="IN7" s="96"/>
      <c r="IO7" s="96"/>
      <c r="IP7" s="96"/>
      <c r="IQ7" s="96"/>
      <c r="IR7" s="96"/>
      <c r="IS7" s="96"/>
      <c r="IT7" s="96"/>
      <c r="IU7" s="96"/>
      <c r="IV7" s="96"/>
      <c r="IW7" s="96"/>
    </row>
    <row r="8" s="97" customFormat="true" ht="23.1" hidden="false" customHeight="false" outlineLevel="0" collapsed="false">
      <c r="A8" s="98" t="s">
        <v>267</v>
      </c>
      <c r="B8" s="98" t="s">
        <v>258</v>
      </c>
      <c r="C8" s="98" t="n">
        <v>100</v>
      </c>
      <c r="D8" s="98" t="n">
        <v>14</v>
      </c>
      <c r="E8" s="98" t="n">
        <v>0.18</v>
      </c>
      <c r="F8" s="98" t="n">
        <v>400</v>
      </c>
      <c r="G8" s="98" t="n">
        <v>260</v>
      </c>
      <c r="H8" s="98" t="n">
        <v>88</v>
      </c>
      <c r="I8" s="98" t="n">
        <v>50</v>
      </c>
      <c r="J8" s="98" t="s">
        <v>268</v>
      </c>
      <c r="K8" s="98" t="s">
        <v>269</v>
      </c>
      <c r="L8" s="99" t="s">
        <v>270</v>
      </c>
      <c r="M8" s="98" t="n">
        <v>150</v>
      </c>
      <c r="N8" s="100" t="s">
        <v>262</v>
      </c>
      <c r="O8" s="100" t="n">
        <v>0.35</v>
      </c>
      <c r="P8" s="101" t="s">
        <v>263</v>
      </c>
      <c r="Q8" s="101" t="n">
        <v>2.3</v>
      </c>
      <c r="R8" s="96"/>
      <c r="S8" s="96"/>
      <c r="T8" s="96"/>
      <c r="U8" s="96"/>
      <c r="V8" s="96"/>
      <c r="W8" s="96"/>
      <c r="X8" s="96"/>
      <c r="Y8" s="96"/>
      <c r="Z8" s="96"/>
      <c r="AA8" s="96"/>
      <c r="AB8" s="96"/>
      <c r="AC8" s="96"/>
      <c r="AD8" s="96"/>
      <c r="AE8" s="96"/>
      <c r="AF8" s="96"/>
      <c r="AG8" s="96"/>
      <c r="AH8" s="96"/>
      <c r="AI8" s="96"/>
      <c r="AJ8" s="96"/>
      <c r="AK8" s="96"/>
      <c r="AL8" s="96"/>
      <c r="AM8" s="96"/>
      <c r="AN8" s="96"/>
      <c r="AO8" s="96"/>
      <c r="AP8" s="96"/>
      <c r="AQ8" s="96"/>
      <c r="AR8" s="96"/>
      <c r="AS8" s="96"/>
      <c r="AT8" s="96"/>
      <c r="AU8" s="96"/>
      <c r="AV8" s="96"/>
      <c r="AW8" s="96"/>
      <c r="AX8" s="96"/>
      <c r="AY8" s="96"/>
      <c r="AZ8" s="96"/>
      <c r="BA8" s="96"/>
      <c r="BB8" s="96"/>
      <c r="BC8" s="96"/>
      <c r="BD8" s="96"/>
      <c r="BE8" s="96"/>
      <c r="BF8" s="96"/>
      <c r="BG8" s="96"/>
      <c r="BH8" s="96"/>
      <c r="BI8" s="96"/>
      <c r="BJ8" s="96"/>
      <c r="BK8" s="96"/>
      <c r="BL8" s="96"/>
      <c r="BM8" s="96"/>
      <c r="BN8" s="96"/>
      <c r="BO8" s="96"/>
      <c r="BP8" s="96"/>
      <c r="BQ8" s="96"/>
      <c r="BR8" s="96"/>
      <c r="BS8" s="96"/>
      <c r="BT8" s="96"/>
      <c r="BU8" s="96"/>
      <c r="BV8" s="96"/>
      <c r="BW8" s="96"/>
      <c r="BX8" s="96"/>
      <c r="BY8" s="96"/>
      <c r="BZ8" s="96"/>
      <c r="CA8" s="96"/>
      <c r="CB8" s="96"/>
      <c r="CC8" s="96"/>
      <c r="CD8" s="96"/>
      <c r="CE8" s="96"/>
      <c r="CF8" s="96"/>
      <c r="CG8" s="96"/>
      <c r="CH8" s="96"/>
      <c r="CI8" s="96"/>
      <c r="CJ8" s="96"/>
      <c r="CK8" s="96"/>
      <c r="CL8" s="96"/>
      <c r="CM8" s="96"/>
      <c r="CN8" s="96"/>
      <c r="CO8" s="96"/>
      <c r="CP8" s="96"/>
      <c r="CQ8" s="96"/>
      <c r="CR8" s="96"/>
      <c r="CS8" s="96"/>
      <c r="CT8" s="96"/>
      <c r="CU8" s="96"/>
      <c r="CV8" s="96"/>
      <c r="CW8" s="96"/>
      <c r="CX8" s="96"/>
      <c r="CY8" s="96"/>
      <c r="CZ8" s="96"/>
      <c r="DA8" s="96"/>
      <c r="DB8" s="96"/>
      <c r="DC8" s="96"/>
      <c r="DD8" s="96"/>
      <c r="DE8" s="96"/>
      <c r="DF8" s="96"/>
      <c r="DG8" s="96"/>
      <c r="DH8" s="96"/>
      <c r="DI8" s="96"/>
      <c r="DJ8" s="96"/>
      <c r="DK8" s="96"/>
      <c r="DL8" s="96"/>
      <c r="DM8" s="96"/>
      <c r="DN8" s="96"/>
      <c r="DO8" s="96"/>
      <c r="DP8" s="96"/>
      <c r="DQ8" s="96"/>
      <c r="DR8" s="96"/>
      <c r="DS8" s="96"/>
      <c r="DT8" s="96"/>
      <c r="DU8" s="96"/>
      <c r="DV8" s="96"/>
      <c r="DW8" s="96"/>
      <c r="DX8" s="96"/>
      <c r="DY8" s="96"/>
      <c r="DZ8" s="96"/>
      <c r="EA8" s="96"/>
      <c r="EB8" s="96"/>
      <c r="EC8" s="96"/>
      <c r="ED8" s="96"/>
      <c r="EE8" s="96"/>
      <c r="EF8" s="96"/>
      <c r="EG8" s="96"/>
      <c r="EH8" s="96"/>
      <c r="EI8" s="96"/>
      <c r="EJ8" s="96"/>
      <c r="EK8" s="96"/>
      <c r="EL8" s="96"/>
      <c r="EM8" s="96"/>
      <c r="EN8" s="96"/>
      <c r="EO8" s="96"/>
      <c r="EP8" s="96"/>
      <c r="EQ8" s="96"/>
      <c r="ER8" s="96"/>
      <c r="ES8" s="96"/>
      <c r="ET8" s="96"/>
      <c r="EU8" s="96"/>
      <c r="EV8" s="96"/>
      <c r="EW8" s="96"/>
      <c r="EX8" s="96"/>
      <c r="EY8" s="96"/>
      <c r="EZ8" s="96"/>
      <c r="FA8" s="96"/>
      <c r="FB8" s="96"/>
      <c r="FC8" s="96"/>
      <c r="FD8" s="96"/>
      <c r="FE8" s="96"/>
      <c r="FF8" s="96"/>
      <c r="FG8" s="96"/>
      <c r="FH8" s="96"/>
      <c r="FI8" s="96"/>
      <c r="FJ8" s="96"/>
      <c r="FK8" s="96"/>
      <c r="FL8" s="96"/>
      <c r="FM8" s="96"/>
      <c r="FN8" s="96"/>
      <c r="FO8" s="96"/>
      <c r="FP8" s="96"/>
      <c r="FQ8" s="96"/>
      <c r="FR8" s="96"/>
      <c r="FS8" s="96"/>
      <c r="FT8" s="96"/>
      <c r="FU8" s="96"/>
      <c r="FV8" s="96"/>
      <c r="FW8" s="96"/>
      <c r="FX8" s="96"/>
      <c r="FY8" s="96"/>
      <c r="FZ8" s="96"/>
      <c r="GA8" s="96"/>
      <c r="GB8" s="96"/>
      <c r="GC8" s="96"/>
      <c r="GD8" s="96"/>
      <c r="GE8" s="96"/>
      <c r="GF8" s="96"/>
      <c r="GG8" s="96"/>
      <c r="GH8" s="96"/>
      <c r="GI8" s="96"/>
      <c r="GJ8" s="96"/>
      <c r="GK8" s="96"/>
      <c r="GL8" s="96"/>
      <c r="GM8" s="96"/>
      <c r="GN8" s="96"/>
      <c r="GO8" s="96"/>
      <c r="GP8" s="96"/>
      <c r="GQ8" s="96"/>
      <c r="GR8" s="96"/>
      <c r="GS8" s="96"/>
      <c r="GT8" s="96"/>
      <c r="GU8" s="96"/>
      <c r="GV8" s="96"/>
      <c r="GW8" s="96"/>
      <c r="GX8" s="96"/>
      <c r="GY8" s="96"/>
      <c r="GZ8" s="96"/>
      <c r="HA8" s="96"/>
      <c r="HB8" s="96"/>
      <c r="HC8" s="96"/>
      <c r="HD8" s="96"/>
      <c r="HE8" s="96"/>
      <c r="HF8" s="96"/>
      <c r="HG8" s="96"/>
      <c r="HH8" s="96"/>
      <c r="HI8" s="96"/>
      <c r="HJ8" s="96"/>
      <c r="HK8" s="96"/>
      <c r="HL8" s="96"/>
      <c r="HM8" s="96"/>
      <c r="HN8" s="96"/>
      <c r="HO8" s="96"/>
      <c r="HP8" s="96"/>
      <c r="HQ8" s="96"/>
      <c r="HR8" s="96"/>
      <c r="HS8" s="96"/>
      <c r="HT8" s="96"/>
      <c r="HU8" s="96"/>
      <c r="HV8" s="96"/>
      <c r="HW8" s="96"/>
      <c r="HX8" s="96"/>
      <c r="HY8" s="96"/>
      <c r="HZ8" s="96"/>
      <c r="IA8" s="96"/>
      <c r="IB8" s="96"/>
      <c r="IC8" s="96"/>
      <c r="ID8" s="96"/>
      <c r="IE8" s="96"/>
      <c r="IF8" s="96"/>
      <c r="IG8" s="96"/>
      <c r="IH8" s="96"/>
      <c r="II8" s="96"/>
      <c r="IJ8" s="96"/>
      <c r="IK8" s="96"/>
      <c r="IL8" s="96"/>
      <c r="IM8" s="96"/>
      <c r="IN8" s="96"/>
      <c r="IO8" s="96"/>
      <c r="IP8" s="96"/>
      <c r="IQ8" s="96"/>
      <c r="IR8" s="96"/>
      <c r="IS8" s="96"/>
      <c r="IT8" s="96"/>
      <c r="IU8" s="96"/>
      <c r="IV8" s="96"/>
      <c r="IW8" s="96"/>
    </row>
    <row r="9" s="97" customFormat="true" ht="23.1" hidden="false" customHeight="false" outlineLevel="0" collapsed="false">
      <c r="A9" s="98" t="s">
        <v>271</v>
      </c>
      <c r="B9" s="98" t="s">
        <v>258</v>
      </c>
      <c r="C9" s="98" t="n">
        <v>100</v>
      </c>
      <c r="D9" s="98" t="n">
        <v>28</v>
      </c>
      <c r="E9" s="98" t="n">
        <v>0.077</v>
      </c>
      <c r="F9" s="98" t="n">
        <v>800</v>
      </c>
      <c r="G9" s="98" t="n">
        <v>450</v>
      </c>
      <c r="H9" s="98" t="n">
        <v>150</v>
      </c>
      <c r="I9" s="98" t="n">
        <v>40</v>
      </c>
      <c r="J9" s="98" t="s">
        <v>272</v>
      </c>
      <c r="K9" s="98" t="s">
        <v>273</v>
      </c>
      <c r="L9" s="99" t="s">
        <v>274</v>
      </c>
      <c r="M9" s="98" t="n">
        <v>150</v>
      </c>
      <c r="N9" s="100" t="s">
        <v>262</v>
      </c>
      <c r="O9" s="100" t="n">
        <v>0.35</v>
      </c>
      <c r="P9" s="101" t="s">
        <v>263</v>
      </c>
      <c r="Q9" s="101" t="n">
        <v>2.3</v>
      </c>
      <c r="R9" s="96"/>
      <c r="S9" s="96"/>
      <c r="T9" s="96"/>
      <c r="U9" s="96"/>
      <c r="V9" s="96"/>
      <c r="W9" s="96"/>
      <c r="X9" s="96"/>
      <c r="Y9" s="96"/>
      <c r="Z9" s="96"/>
      <c r="AA9" s="96"/>
      <c r="AB9" s="96"/>
      <c r="AC9" s="96"/>
      <c r="AD9" s="96"/>
      <c r="AE9" s="96"/>
      <c r="AF9" s="96"/>
      <c r="AG9" s="96"/>
      <c r="AH9" s="96"/>
      <c r="AI9" s="96"/>
      <c r="AJ9" s="96"/>
      <c r="AK9" s="96"/>
      <c r="AL9" s="96"/>
      <c r="AM9" s="96"/>
      <c r="AN9" s="96"/>
      <c r="AO9" s="96"/>
      <c r="AP9" s="96"/>
      <c r="AQ9" s="96"/>
      <c r="AR9" s="96"/>
      <c r="AS9" s="96"/>
      <c r="AT9" s="96"/>
      <c r="AU9" s="96"/>
      <c r="AV9" s="96"/>
      <c r="AW9" s="96"/>
      <c r="AX9" s="96"/>
      <c r="AY9" s="96"/>
      <c r="AZ9" s="96"/>
      <c r="BA9" s="96"/>
      <c r="BB9" s="96"/>
      <c r="BC9" s="96"/>
      <c r="BD9" s="96"/>
      <c r="BE9" s="96"/>
      <c r="BF9" s="96"/>
      <c r="BG9" s="96"/>
      <c r="BH9" s="96"/>
      <c r="BI9" s="96"/>
      <c r="BJ9" s="96"/>
      <c r="BK9" s="96"/>
      <c r="BL9" s="96"/>
      <c r="BM9" s="96"/>
      <c r="BN9" s="96"/>
      <c r="BO9" s="96"/>
      <c r="BP9" s="96"/>
      <c r="BQ9" s="96"/>
      <c r="BR9" s="96"/>
      <c r="BS9" s="96"/>
      <c r="BT9" s="96"/>
      <c r="BU9" s="96"/>
      <c r="BV9" s="96"/>
      <c r="BW9" s="96"/>
      <c r="BX9" s="96"/>
      <c r="BY9" s="96"/>
      <c r="BZ9" s="96"/>
      <c r="CA9" s="96"/>
      <c r="CB9" s="96"/>
      <c r="CC9" s="96"/>
      <c r="CD9" s="96"/>
      <c r="CE9" s="96"/>
      <c r="CF9" s="96"/>
      <c r="CG9" s="96"/>
      <c r="CH9" s="96"/>
      <c r="CI9" s="96"/>
      <c r="CJ9" s="96"/>
      <c r="CK9" s="96"/>
      <c r="CL9" s="96"/>
      <c r="CM9" s="96"/>
      <c r="CN9" s="96"/>
      <c r="CO9" s="96"/>
      <c r="CP9" s="96"/>
      <c r="CQ9" s="96"/>
      <c r="CR9" s="96"/>
      <c r="CS9" s="96"/>
      <c r="CT9" s="96"/>
      <c r="CU9" s="96"/>
      <c r="CV9" s="96"/>
      <c r="CW9" s="96"/>
      <c r="CX9" s="96"/>
      <c r="CY9" s="96"/>
      <c r="CZ9" s="96"/>
      <c r="DA9" s="96"/>
      <c r="DB9" s="96"/>
      <c r="DC9" s="96"/>
      <c r="DD9" s="96"/>
      <c r="DE9" s="96"/>
      <c r="DF9" s="96"/>
      <c r="DG9" s="96"/>
      <c r="DH9" s="96"/>
      <c r="DI9" s="96"/>
      <c r="DJ9" s="96"/>
      <c r="DK9" s="96"/>
      <c r="DL9" s="96"/>
      <c r="DM9" s="96"/>
      <c r="DN9" s="96"/>
      <c r="DO9" s="96"/>
      <c r="DP9" s="96"/>
      <c r="DQ9" s="96"/>
      <c r="DR9" s="96"/>
      <c r="DS9" s="96"/>
      <c r="DT9" s="96"/>
      <c r="DU9" s="96"/>
      <c r="DV9" s="96"/>
      <c r="DW9" s="96"/>
      <c r="DX9" s="96"/>
      <c r="DY9" s="96"/>
      <c r="DZ9" s="96"/>
      <c r="EA9" s="96"/>
      <c r="EB9" s="96"/>
      <c r="EC9" s="96"/>
      <c r="ED9" s="96"/>
      <c r="EE9" s="96"/>
      <c r="EF9" s="96"/>
      <c r="EG9" s="96"/>
      <c r="EH9" s="96"/>
      <c r="EI9" s="96"/>
      <c r="EJ9" s="96"/>
      <c r="EK9" s="96"/>
      <c r="EL9" s="96"/>
      <c r="EM9" s="96"/>
      <c r="EN9" s="96"/>
      <c r="EO9" s="96"/>
      <c r="EP9" s="96"/>
      <c r="EQ9" s="96"/>
      <c r="ER9" s="96"/>
      <c r="ES9" s="96"/>
      <c r="ET9" s="96"/>
      <c r="EU9" s="96"/>
      <c r="EV9" s="96"/>
      <c r="EW9" s="96"/>
      <c r="EX9" s="96"/>
      <c r="EY9" s="96"/>
      <c r="EZ9" s="96"/>
      <c r="FA9" s="96"/>
      <c r="FB9" s="96"/>
      <c r="FC9" s="96"/>
      <c r="FD9" s="96"/>
      <c r="FE9" s="96"/>
      <c r="FF9" s="96"/>
      <c r="FG9" s="96"/>
      <c r="FH9" s="96"/>
      <c r="FI9" s="96"/>
      <c r="FJ9" s="96"/>
      <c r="FK9" s="96"/>
      <c r="FL9" s="96"/>
      <c r="FM9" s="96"/>
      <c r="FN9" s="96"/>
      <c r="FO9" s="96"/>
      <c r="FP9" s="96"/>
      <c r="FQ9" s="96"/>
      <c r="FR9" s="96"/>
      <c r="FS9" s="96"/>
      <c r="FT9" s="96"/>
      <c r="FU9" s="96"/>
      <c r="FV9" s="96"/>
      <c r="FW9" s="96"/>
      <c r="FX9" s="96"/>
      <c r="FY9" s="96"/>
      <c r="FZ9" s="96"/>
      <c r="GA9" s="96"/>
      <c r="GB9" s="96"/>
      <c r="GC9" s="96"/>
      <c r="GD9" s="96"/>
      <c r="GE9" s="96"/>
      <c r="GF9" s="96"/>
      <c r="GG9" s="96"/>
      <c r="GH9" s="96"/>
      <c r="GI9" s="96"/>
      <c r="GJ9" s="96"/>
      <c r="GK9" s="96"/>
      <c r="GL9" s="96"/>
      <c r="GM9" s="96"/>
      <c r="GN9" s="96"/>
      <c r="GO9" s="96"/>
      <c r="GP9" s="96"/>
      <c r="GQ9" s="96"/>
      <c r="GR9" s="96"/>
      <c r="GS9" s="96"/>
      <c r="GT9" s="96"/>
      <c r="GU9" s="96"/>
      <c r="GV9" s="96"/>
      <c r="GW9" s="96"/>
      <c r="GX9" s="96"/>
      <c r="GY9" s="96"/>
      <c r="GZ9" s="96"/>
      <c r="HA9" s="96"/>
      <c r="HB9" s="96"/>
      <c r="HC9" s="96"/>
      <c r="HD9" s="96"/>
      <c r="HE9" s="96"/>
      <c r="HF9" s="96"/>
      <c r="HG9" s="96"/>
      <c r="HH9" s="96"/>
      <c r="HI9" s="96"/>
      <c r="HJ9" s="96"/>
      <c r="HK9" s="96"/>
      <c r="HL9" s="96"/>
      <c r="HM9" s="96"/>
      <c r="HN9" s="96"/>
      <c r="HO9" s="96"/>
      <c r="HP9" s="96"/>
      <c r="HQ9" s="96"/>
      <c r="HR9" s="96"/>
      <c r="HS9" s="96"/>
      <c r="HT9" s="96"/>
      <c r="HU9" s="96"/>
      <c r="HV9" s="96"/>
      <c r="HW9" s="96"/>
      <c r="HX9" s="96"/>
      <c r="HY9" s="96"/>
      <c r="HZ9" s="96"/>
      <c r="IA9" s="96"/>
      <c r="IB9" s="96"/>
      <c r="IC9" s="96"/>
      <c r="ID9" s="96"/>
      <c r="IE9" s="96"/>
      <c r="IF9" s="96"/>
      <c r="IG9" s="96"/>
      <c r="IH9" s="96"/>
      <c r="II9" s="96"/>
      <c r="IJ9" s="96"/>
      <c r="IK9" s="96"/>
      <c r="IL9" s="96"/>
      <c r="IM9" s="96"/>
      <c r="IN9" s="96"/>
      <c r="IO9" s="96"/>
      <c r="IP9" s="96"/>
      <c r="IQ9" s="96"/>
      <c r="IR9" s="96"/>
      <c r="IS9" s="96"/>
      <c r="IT9" s="96"/>
      <c r="IU9" s="96"/>
      <c r="IV9" s="96"/>
      <c r="IW9" s="96"/>
    </row>
    <row r="10" s="97" customFormat="true" ht="23.1" hidden="false" customHeight="false" outlineLevel="0" collapsed="false">
      <c r="A10" s="98" t="s">
        <v>275</v>
      </c>
      <c r="B10" s="98" t="s">
        <v>258</v>
      </c>
      <c r="C10" s="98" t="n">
        <v>55</v>
      </c>
      <c r="D10" s="98" t="n">
        <v>49</v>
      </c>
      <c r="E10" s="98" t="n">
        <v>0.028</v>
      </c>
      <c r="F10" s="98" t="n">
        <v>3050</v>
      </c>
      <c r="G10" s="98" t="n">
        <v>930</v>
      </c>
      <c r="H10" s="98" t="n">
        <v>107</v>
      </c>
      <c r="I10" s="98" t="n">
        <v>30</v>
      </c>
      <c r="J10" s="98" t="s">
        <v>276</v>
      </c>
      <c r="K10" s="98" t="s">
        <v>277</v>
      </c>
      <c r="L10" s="99" t="s">
        <v>278</v>
      </c>
      <c r="M10" s="98" t="n">
        <v>150</v>
      </c>
      <c r="N10" s="100" t="s">
        <v>262</v>
      </c>
      <c r="O10" s="100" t="n">
        <v>0.35</v>
      </c>
      <c r="P10" s="101" t="s">
        <v>263</v>
      </c>
      <c r="Q10" s="101" t="n">
        <v>2.3</v>
      </c>
      <c r="R10" s="96"/>
      <c r="S10" s="96"/>
      <c r="T10" s="96"/>
      <c r="U10" s="96"/>
      <c r="V10" s="96"/>
      <c r="W10" s="96"/>
      <c r="X10" s="96"/>
      <c r="Y10" s="96"/>
      <c r="Z10" s="96"/>
      <c r="AA10" s="96"/>
      <c r="AB10" s="96"/>
      <c r="AC10" s="96"/>
      <c r="AD10" s="96"/>
      <c r="AE10" s="96"/>
      <c r="AF10" s="96"/>
      <c r="AG10" s="96"/>
      <c r="AH10" s="96"/>
      <c r="AI10" s="96"/>
      <c r="AJ10" s="96"/>
      <c r="AK10" s="96"/>
      <c r="AL10" s="96"/>
      <c r="AM10" s="96"/>
      <c r="AN10" s="96"/>
      <c r="AO10" s="96"/>
      <c r="AP10" s="96"/>
      <c r="AQ10" s="96"/>
      <c r="AR10" s="96"/>
      <c r="AS10" s="96"/>
      <c r="AT10" s="96"/>
      <c r="AU10" s="96"/>
      <c r="AV10" s="96"/>
      <c r="AW10" s="96"/>
      <c r="AX10" s="96"/>
      <c r="AY10" s="96"/>
      <c r="AZ10" s="96"/>
      <c r="BA10" s="96"/>
      <c r="BB10" s="96"/>
      <c r="BC10" s="96"/>
      <c r="BD10" s="96"/>
      <c r="BE10" s="96"/>
      <c r="BF10" s="96"/>
      <c r="BG10" s="96"/>
      <c r="BH10" s="96"/>
      <c r="BI10" s="96"/>
      <c r="BJ10" s="96"/>
      <c r="BK10" s="96"/>
      <c r="BL10" s="96"/>
      <c r="BM10" s="96"/>
      <c r="BN10" s="96"/>
      <c r="BO10" s="96"/>
      <c r="BP10" s="96"/>
      <c r="BQ10" s="96"/>
      <c r="BR10" s="96"/>
      <c r="BS10" s="96"/>
      <c r="BT10" s="96"/>
      <c r="BU10" s="96"/>
      <c r="BV10" s="96"/>
      <c r="BW10" s="96"/>
      <c r="BX10" s="96"/>
      <c r="BY10" s="96"/>
      <c r="BZ10" s="96"/>
      <c r="CA10" s="96"/>
      <c r="CB10" s="96"/>
      <c r="CC10" s="96"/>
      <c r="CD10" s="96"/>
      <c r="CE10" s="96"/>
      <c r="CF10" s="96"/>
      <c r="CG10" s="96"/>
      <c r="CH10" s="96"/>
      <c r="CI10" s="96"/>
      <c r="CJ10" s="96"/>
      <c r="CK10" s="96"/>
      <c r="CL10" s="96"/>
      <c r="CM10" s="96"/>
      <c r="CN10" s="96"/>
      <c r="CO10" s="96"/>
      <c r="CP10" s="96"/>
      <c r="CQ10" s="96"/>
      <c r="CR10" s="96"/>
      <c r="CS10" s="96"/>
      <c r="CT10" s="96"/>
      <c r="CU10" s="96"/>
      <c r="CV10" s="96"/>
      <c r="CW10" s="96"/>
      <c r="CX10" s="96"/>
      <c r="CY10" s="96"/>
      <c r="CZ10" s="96"/>
      <c r="DA10" s="96"/>
      <c r="DB10" s="96"/>
      <c r="DC10" s="96"/>
      <c r="DD10" s="96"/>
      <c r="DE10" s="96"/>
      <c r="DF10" s="96"/>
      <c r="DG10" s="96"/>
      <c r="DH10" s="96"/>
      <c r="DI10" s="96"/>
      <c r="DJ10" s="96"/>
      <c r="DK10" s="96"/>
      <c r="DL10" s="96"/>
      <c r="DM10" s="96"/>
      <c r="DN10" s="96"/>
      <c r="DO10" s="96"/>
      <c r="DP10" s="96"/>
      <c r="DQ10" s="96"/>
      <c r="DR10" s="96"/>
      <c r="DS10" s="96"/>
      <c r="DT10" s="96"/>
      <c r="DU10" s="96"/>
      <c r="DV10" s="96"/>
      <c r="DW10" s="96"/>
      <c r="DX10" s="96"/>
      <c r="DY10" s="96"/>
      <c r="DZ10" s="96"/>
      <c r="EA10" s="96"/>
      <c r="EB10" s="96"/>
      <c r="EC10" s="96"/>
      <c r="ED10" s="96"/>
      <c r="EE10" s="96"/>
      <c r="EF10" s="96"/>
      <c r="EG10" s="96"/>
      <c r="EH10" s="96"/>
      <c r="EI10" s="96"/>
      <c r="EJ10" s="96"/>
      <c r="EK10" s="96"/>
      <c r="EL10" s="96"/>
      <c r="EM10" s="96"/>
      <c r="EN10" s="96"/>
      <c r="EO10" s="96"/>
      <c r="EP10" s="96"/>
      <c r="EQ10" s="96"/>
      <c r="ER10" s="96"/>
      <c r="ES10" s="96"/>
      <c r="ET10" s="96"/>
      <c r="EU10" s="96"/>
      <c r="EV10" s="96"/>
      <c r="EW10" s="96"/>
      <c r="EX10" s="96"/>
      <c r="EY10" s="96"/>
      <c r="EZ10" s="96"/>
      <c r="FA10" s="96"/>
      <c r="FB10" s="96"/>
      <c r="FC10" s="96"/>
      <c r="FD10" s="96"/>
      <c r="FE10" s="96"/>
      <c r="FF10" s="96"/>
      <c r="FG10" s="96"/>
      <c r="FH10" s="96"/>
      <c r="FI10" s="96"/>
      <c r="FJ10" s="96"/>
      <c r="FK10" s="96"/>
      <c r="FL10" s="96"/>
      <c r="FM10" s="96"/>
      <c r="FN10" s="96"/>
      <c r="FO10" s="96"/>
      <c r="FP10" s="96"/>
      <c r="FQ10" s="96"/>
      <c r="FR10" s="96"/>
      <c r="FS10" s="96"/>
      <c r="FT10" s="96"/>
      <c r="FU10" s="96"/>
      <c r="FV10" s="96"/>
      <c r="FW10" s="96"/>
      <c r="FX10" s="96"/>
      <c r="FY10" s="96"/>
      <c r="FZ10" s="96"/>
      <c r="GA10" s="96"/>
      <c r="GB10" s="96"/>
      <c r="GC10" s="96"/>
      <c r="GD10" s="96"/>
      <c r="GE10" s="96"/>
      <c r="GF10" s="96"/>
      <c r="GG10" s="96"/>
      <c r="GH10" s="96"/>
      <c r="GI10" s="96"/>
      <c r="GJ10" s="96"/>
      <c r="GK10" s="96"/>
      <c r="GL10" s="96"/>
      <c r="GM10" s="96"/>
      <c r="GN10" s="96"/>
      <c r="GO10" s="96"/>
      <c r="GP10" s="96"/>
      <c r="GQ10" s="96"/>
      <c r="GR10" s="96"/>
      <c r="GS10" s="96"/>
      <c r="GT10" s="96"/>
      <c r="GU10" s="96"/>
      <c r="GV10" s="96"/>
      <c r="GW10" s="96"/>
      <c r="GX10" s="96"/>
      <c r="GY10" s="96"/>
      <c r="GZ10" s="96"/>
      <c r="HA10" s="96"/>
      <c r="HB10" s="96"/>
      <c r="HC10" s="96"/>
      <c r="HD10" s="96"/>
      <c r="HE10" s="96"/>
      <c r="HF10" s="96"/>
      <c r="HG10" s="96"/>
      <c r="HH10" s="96"/>
      <c r="HI10" s="96"/>
      <c r="HJ10" s="96"/>
      <c r="HK10" s="96"/>
      <c r="HL10" s="96"/>
      <c r="HM10" s="96"/>
      <c r="HN10" s="96"/>
      <c r="HO10" s="96"/>
      <c r="HP10" s="96"/>
      <c r="HQ10" s="96"/>
      <c r="HR10" s="96"/>
      <c r="HS10" s="96"/>
      <c r="HT10" s="96"/>
      <c r="HU10" s="96"/>
      <c r="HV10" s="96"/>
      <c r="HW10" s="96"/>
      <c r="HX10" s="96"/>
      <c r="HY10" s="96"/>
      <c r="HZ10" s="96"/>
      <c r="IA10" s="96"/>
      <c r="IB10" s="96"/>
      <c r="IC10" s="96"/>
      <c r="ID10" s="96"/>
      <c r="IE10" s="96"/>
      <c r="IF10" s="96"/>
      <c r="IG10" s="96"/>
      <c r="IH10" s="96"/>
      <c r="II10" s="96"/>
      <c r="IJ10" s="96"/>
      <c r="IK10" s="96"/>
      <c r="IL10" s="96"/>
      <c r="IM10" s="96"/>
      <c r="IN10" s="96"/>
      <c r="IO10" s="96"/>
      <c r="IP10" s="96"/>
      <c r="IQ10" s="96"/>
      <c r="IR10" s="96"/>
      <c r="IS10" s="96"/>
      <c r="IT10" s="96"/>
      <c r="IU10" s="96"/>
      <c r="IV10" s="96"/>
      <c r="IW10" s="96"/>
    </row>
    <row r="11" s="97" customFormat="true" ht="23.1" hidden="false" customHeight="false" outlineLevel="0" collapsed="false">
      <c r="A11" s="98" t="s">
        <v>279</v>
      </c>
      <c r="B11" s="98" t="s">
        <v>258</v>
      </c>
      <c r="C11" s="98" t="n">
        <v>100</v>
      </c>
      <c r="D11" s="98" t="n">
        <v>13</v>
      </c>
      <c r="E11" s="98" t="n">
        <v>0.18</v>
      </c>
      <c r="F11" s="98" t="n">
        <v>1060</v>
      </c>
      <c r="G11" s="98" t="n">
        <v>380</v>
      </c>
      <c r="H11" s="98" t="n">
        <v>88</v>
      </c>
      <c r="I11" s="98" t="n">
        <v>60</v>
      </c>
      <c r="J11" s="98" t="s">
        <v>280</v>
      </c>
      <c r="K11" s="98" t="s">
        <v>269</v>
      </c>
      <c r="L11" s="99" t="s">
        <v>281</v>
      </c>
      <c r="M11" s="98" t="n">
        <v>150</v>
      </c>
      <c r="N11" s="100" t="s">
        <v>262</v>
      </c>
      <c r="O11" s="100" t="n">
        <v>0.35</v>
      </c>
      <c r="P11" s="101" t="s">
        <v>263</v>
      </c>
      <c r="Q11" s="101" t="n">
        <v>2.3</v>
      </c>
      <c r="R11" s="96"/>
      <c r="S11" s="96"/>
      <c r="T11" s="96"/>
      <c r="U11" s="96"/>
      <c r="V11" s="96"/>
      <c r="W11" s="96"/>
      <c r="X11" s="96"/>
      <c r="Y11" s="96"/>
      <c r="Z11" s="96"/>
      <c r="AA11" s="96"/>
      <c r="AB11" s="96"/>
      <c r="AC11" s="96"/>
      <c r="AD11" s="96"/>
      <c r="AE11" s="96"/>
      <c r="AF11" s="96"/>
      <c r="AG11" s="96"/>
      <c r="AH11" s="96"/>
      <c r="AI11" s="96"/>
      <c r="AJ11" s="96"/>
      <c r="AK11" s="96"/>
      <c r="AL11" s="96"/>
      <c r="AM11" s="96"/>
      <c r="AN11" s="96"/>
      <c r="AO11" s="96"/>
      <c r="AP11" s="96"/>
      <c r="AQ11" s="96"/>
      <c r="AR11" s="96"/>
      <c r="AS11" s="96"/>
      <c r="AT11" s="96"/>
      <c r="AU11" s="96"/>
      <c r="AV11" s="96"/>
      <c r="AW11" s="96"/>
      <c r="AX11" s="96"/>
      <c r="AY11" s="96"/>
      <c r="AZ11" s="96"/>
      <c r="BA11" s="96"/>
      <c r="BB11" s="96"/>
      <c r="BC11" s="96"/>
      <c r="BD11" s="96"/>
      <c r="BE11" s="96"/>
      <c r="BF11" s="96"/>
      <c r="BG11" s="96"/>
      <c r="BH11" s="96"/>
      <c r="BI11" s="96"/>
      <c r="BJ11" s="96"/>
      <c r="BK11" s="96"/>
      <c r="BL11" s="96"/>
      <c r="BM11" s="96"/>
      <c r="BN11" s="96"/>
      <c r="BO11" s="96"/>
      <c r="BP11" s="96"/>
      <c r="BQ11" s="96"/>
      <c r="BR11" s="96"/>
      <c r="BS11" s="96"/>
      <c r="BT11" s="96"/>
      <c r="BU11" s="96"/>
      <c r="BV11" s="96"/>
      <c r="BW11" s="96"/>
      <c r="BX11" s="96"/>
      <c r="BY11" s="96"/>
      <c r="BZ11" s="96"/>
      <c r="CA11" s="96"/>
      <c r="CB11" s="96"/>
      <c r="CC11" s="96"/>
      <c r="CD11" s="96"/>
      <c r="CE11" s="96"/>
      <c r="CF11" s="96"/>
      <c r="CG11" s="96"/>
      <c r="CH11" s="96"/>
      <c r="CI11" s="96"/>
      <c r="CJ11" s="96"/>
      <c r="CK11" s="96"/>
      <c r="CL11" s="96"/>
      <c r="CM11" s="96"/>
      <c r="CN11" s="96"/>
      <c r="CO11" s="96"/>
      <c r="CP11" s="96"/>
      <c r="CQ11" s="96"/>
      <c r="CR11" s="96"/>
      <c r="CS11" s="96"/>
      <c r="CT11" s="96"/>
      <c r="CU11" s="96"/>
      <c r="CV11" s="96"/>
      <c r="CW11" s="96"/>
      <c r="CX11" s="96"/>
      <c r="CY11" s="96"/>
      <c r="CZ11" s="96"/>
      <c r="DA11" s="96"/>
      <c r="DB11" s="96"/>
      <c r="DC11" s="96"/>
      <c r="DD11" s="96"/>
      <c r="DE11" s="96"/>
      <c r="DF11" s="96"/>
      <c r="DG11" s="96"/>
      <c r="DH11" s="96"/>
      <c r="DI11" s="96"/>
      <c r="DJ11" s="96"/>
      <c r="DK11" s="96"/>
      <c r="DL11" s="96"/>
      <c r="DM11" s="96"/>
      <c r="DN11" s="96"/>
      <c r="DO11" s="96"/>
      <c r="DP11" s="96"/>
      <c r="DQ11" s="96"/>
      <c r="DR11" s="96"/>
      <c r="DS11" s="96"/>
      <c r="DT11" s="96"/>
      <c r="DU11" s="96"/>
      <c r="DV11" s="96"/>
      <c r="DW11" s="96"/>
      <c r="DX11" s="96"/>
      <c r="DY11" s="96"/>
      <c r="DZ11" s="96"/>
      <c r="EA11" s="96"/>
      <c r="EB11" s="96"/>
      <c r="EC11" s="96"/>
      <c r="ED11" s="96"/>
      <c r="EE11" s="96"/>
      <c r="EF11" s="96"/>
      <c r="EG11" s="96"/>
      <c r="EH11" s="96"/>
      <c r="EI11" s="96"/>
      <c r="EJ11" s="96"/>
      <c r="EK11" s="96"/>
      <c r="EL11" s="96"/>
      <c r="EM11" s="96"/>
      <c r="EN11" s="96"/>
      <c r="EO11" s="96"/>
      <c r="EP11" s="96"/>
      <c r="EQ11" s="96"/>
      <c r="ER11" s="96"/>
      <c r="ES11" s="96"/>
      <c r="ET11" s="96"/>
      <c r="EU11" s="96"/>
      <c r="EV11" s="96"/>
      <c r="EW11" s="96"/>
      <c r="EX11" s="96"/>
      <c r="EY11" s="96"/>
      <c r="EZ11" s="96"/>
      <c r="FA11" s="96"/>
      <c r="FB11" s="96"/>
      <c r="FC11" s="96"/>
      <c r="FD11" s="96"/>
      <c r="FE11" s="96"/>
      <c r="FF11" s="96"/>
      <c r="FG11" s="96"/>
      <c r="FH11" s="96"/>
      <c r="FI11" s="96"/>
      <c r="FJ11" s="96"/>
      <c r="FK11" s="96"/>
      <c r="FL11" s="96"/>
      <c r="FM11" s="96"/>
      <c r="FN11" s="96"/>
      <c r="FO11" s="96"/>
      <c r="FP11" s="96"/>
      <c r="FQ11" s="96"/>
      <c r="FR11" s="96"/>
      <c r="FS11" s="96"/>
      <c r="FT11" s="96"/>
      <c r="FU11" s="96"/>
      <c r="FV11" s="96"/>
      <c r="FW11" s="96"/>
      <c r="FX11" s="96"/>
      <c r="FY11" s="96"/>
      <c r="FZ11" s="96"/>
      <c r="GA11" s="96"/>
      <c r="GB11" s="96"/>
      <c r="GC11" s="96"/>
      <c r="GD11" s="96"/>
      <c r="GE11" s="96"/>
      <c r="GF11" s="96"/>
      <c r="GG11" s="96"/>
      <c r="GH11" s="96"/>
      <c r="GI11" s="96"/>
      <c r="GJ11" s="96"/>
      <c r="GK11" s="96"/>
      <c r="GL11" s="96"/>
      <c r="GM11" s="96"/>
      <c r="GN11" s="96"/>
      <c r="GO11" s="96"/>
      <c r="GP11" s="96"/>
      <c r="GQ11" s="96"/>
      <c r="GR11" s="96"/>
      <c r="GS11" s="96"/>
      <c r="GT11" s="96"/>
      <c r="GU11" s="96"/>
      <c r="GV11" s="96"/>
      <c r="GW11" s="96"/>
      <c r="GX11" s="96"/>
      <c r="GY11" s="96"/>
      <c r="GZ11" s="96"/>
      <c r="HA11" s="96"/>
      <c r="HB11" s="96"/>
      <c r="HC11" s="96"/>
      <c r="HD11" s="96"/>
      <c r="HE11" s="96"/>
      <c r="HF11" s="96"/>
      <c r="HG11" s="96"/>
      <c r="HH11" s="96"/>
      <c r="HI11" s="96"/>
      <c r="HJ11" s="96"/>
      <c r="HK11" s="96"/>
      <c r="HL11" s="96"/>
      <c r="HM11" s="96"/>
      <c r="HN11" s="96"/>
      <c r="HO11" s="96"/>
      <c r="HP11" s="96"/>
      <c r="HQ11" s="96"/>
      <c r="HR11" s="96"/>
      <c r="HS11" s="96"/>
      <c r="HT11" s="96"/>
      <c r="HU11" s="96"/>
      <c r="HV11" s="96"/>
      <c r="HW11" s="96"/>
      <c r="HX11" s="96"/>
      <c r="HY11" s="96"/>
      <c r="HZ11" s="96"/>
      <c r="IA11" s="96"/>
      <c r="IB11" s="96"/>
      <c r="IC11" s="96"/>
      <c r="ID11" s="96"/>
      <c r="IE11" s="96"/>
      <c r="IF11" s="96"/>
      <c r="IG11" s="96"/>
      <c r="IH11" s="96"/>
      <c r="II11" s="96"/>
      <c r="IJ11" s="96"/>
      <c r="IK11" s="96"/>
      <c r="IL11" s="96"/>
      <c r="IM11" s="96"/>
      <c r="IN11" s="96"/>
      <c r="IO11" s="96"/>
      <c r="IP11" s="96"/>
      <c r="IQ11" s="96"/>
      <c r="IR11" s="96"/>
      <c r="IS11" s="96"/>
      <c r="IT11" s="96"/>
      <c r="IU11" s="96"/>
      <c r="IV11" s="96"/>
      <c r="IW11" s="96"/>
    </row>
    <row r="12" s="97" customFormat="true" ht="23.1" hidden="false" customHeight="false" outlineLevel="0" collapsed="false">
      <c r="A12" s="98" t="s">
        <v>282</v>
      </c>
      <c r="B12" s="98" t="s">
        <v>283</v>
      </c>
      <c r="C12" s="98" t="n">
        <v>50</v>
      </c>
      <c r="D12" s="98" t="n">
        <v>5.5</v>
      </c>
      <c r="E12" s="98" t="s">
        <v>18</v>
      </c>
      <c r="F12" s="98" t="n">
        <v>80</v>
      </c>
      <c r="G12" s="98" t="n">
        <v>15</v>
      </c>
      <c r="H12" s="98" t="n">
        <v>25</v>
      </c>
      <c r="I12" s="98" t="n">
        <v>520</v>
      </c>
      <c r="J12" s="98" t="s">
        <v>284</v>
      </c>
      <c r="K12" s="98" t="s">
        <v>285</v>
      </c>
      <c r="L12" s="99" t="s">
        <v>286</v>
      </c>
      <c r="M12" s="98" t="n">
        <v>200</v>
      </c>
      <c r="N12" s="100" t="s">
        <v>287</v>
      </c>
      <c r="O12" s="100" t="n">
        <v>0.85</v>
      </c>
      <c r="P12" s="101" t="s">
        <v>288</v>
      </c>
      <c r="Q12" s="101" t="n">
        <v>2.3</v>
      </c>
      <c r="R12" s="96"/>
      <c r="S12" s="96"/>
      <c r="T12" s="96"/>
      <c r="U12" s="96"/>
      <c r="V12" s="96"/>
      <c r="W12" s="96"/>
      <c r="X12" s="96"/>
      <c r="Y12" s="96"/>
      <c r="Z12" s="96"/>
      <c r="AA12" s="96"/>
      <c r="AB12" s="96"/>
      <c r="AC12" s="96"/>
      <c r="AD12" s="96"/>
      <c r="AE12" s="96"/>
      <c r="AF12" s="96"/>
      <c r="AG12" s="96"/>
      <c r="AH12" s="96"/>
      <c r="AI12" s="96"/>
      <c r="AJ12" s="96"/>
      <c r="AK12" s="96"/>
      <c r="AL12" s="96"/>
      <c r="AM12" s="96"/>
      <c r="AN12" s="96"/>
      <c r="AO12" s="96"/>
      <c r="AP12" s="96"/>
      <c r="AQ12" s="96"/>
      <c r="AR12" s="96"/>
      <c r="AS12" s="96"/>
      <c r="AT12" s="96"/>
      <c r="AU12" s="96"/>
      <c r="AV12" s="96"/>
      <c r="AW12" s="96"/>
      <c r="AX12" s="96"/>
      <c r="AY12" s="96"/>
      <c r="AZ12" s="96"/>
      <c r="BA12" s="96"/>
      <c r="BB12" s="96"/>
      <c r="BC12" s="96"/>
      <c r="BD12" s="96"/>
      <c r="BE12" s="96"/>
      <c r="BF12" s="96"/>
      <c r="BG12" s="96"/>
      <c r="BH12" s="96"/>
      <c r="BI12" s="96"/>
      <c r="BJ12" s="96"/>
      <c r="BK12" s="96"/>
      <c r="BL12" s="96"/>
      <c r="BM12" s="96"/>
      <c r="BN12" s="96"/>
      <c r="BO12" s="96"/>
      <c r="BP12" s="96"/>
      <c r="BQ12" s="96"/>
      <c r="BR12" s="96"/>
      <c r="BS12" s="96"/>
      <c r="BT12" s="96"/>
      <c r="BU12" s="96"/>
      <c r="BV12" s="96"/>
      <c r="BW12" s="96"/>
      <c r="BX12" s="96"/>
      <c r="BY12" s="96"/>
      <c r="BZ12" s="96"/>
      <c r="CA12" s="96"/>
      <c r="CB12" s="96"/>
      <c r="CC12" s="96"/>
      <c r="CD12" s="96"/>
      <c r="CE12" s="96"/>
      <c r="CF12" s="96"/>
      <c r="CG12" s="96"/>
      <c r="CH12" s="96"/>
      <c r="CI12" s="96"/>
      <c r="CJ12" s="96"/>
      <c r="CK12" s="96"/>
      <c r="CL12" s="96"/>
      <c r="CM12" s="96"/>
      <c r="CN12" s="96"/>
      <c r="CO12" s="96"/>
      <c r="CP12" s="96"/>
      <c r="CQ12" s="96"/>
      <c r="CR12" s="96"/>
      <c r="CS12" s="96"/>
      <c r="CT12" s="96"/>
      <c r="CU12" s="96"/>
      <c r="CV12" s="96"/>
      <c r="CW12" s="96"/>
      <c r="CX12" s="96"/>
      <c r="CY12" s="96"/>
      <c r="CZ12" s="96"/>
      <c r="DA12" s="96"/>
      <c r="DB12" s="96"/>
      <c r="DC12" s="96"/>
      <c r="DD12" s="96"/>
      <c r="DE12" s="96"/>
      <c r="DF12" s="96"/>
      <c r="DG12" s="96"/>
      <c r="DH12" s="96"/>
      <c r="DI12" s="96"/>
      <c r="DJ12" s="96"/>
      <c r="DK12" s="96"/>
      <c r="DL12" s="96"/>
      <c r="DM12" s="96"/>
      <c r="DN12" s="96"/>
      <c r="DO12" s="96"/>
      <c r="DP12" s="96"/>
      <c r="DQ12" s="96"/>
      <c r="DR12" s="96"/>
      <c r="DS12" s="96"/>
      <c r="DT12" s="96"/>
      <c r="DU12" s="96"/>
      <c r="DV12" s="96"/>
      <c r="DW12" s="96"/>
      <c r="DX12" s="96"/>
      <c r="DY12" s="96"/>
      <c r="DZ12" s="96"/>
      <c r="EA12" s="96"/>
      <c r="EB12" s="96"/>
      <c r="EC12" s="96"/>
      <c r="ED12" s="96"/>
      <c r="EE12" s="96"/>
      <c r="EF12" s="96"/>
      <c r="EG12" s="96"/>
      <c r="EH12" s="96"/>
      <c r="EI12" s="96"/>
      <c r="EJ12" s="96"/>
      <c r="EK12" s="96"/>
      <c r="EL12" s="96"/>
      <c r="EM12" s="96"/>
      <c r="EN12" s="96"/>
      <c r="EO12" s="96"/>
      <c r="EP12" s="96"/>
      <c r="EQ12" s="96"/>
      <c r="ER12" s="96"/>
      <c r="ES12" s="96"/>
      <c r="ET12" s="96"/>
      <c r="EU12" s="96"/>
      <c r="EV12" s="96"/>
      <c r="EW12" s="96"/>
      <c r="EX12" s="96"/>
      <c r="EY12" s="96"/>
      <c r="EZ12" s="96"/>
      <c r="FA12" s="96"/>
      <c r="FB12" s="96"/>
      <c r="FC12" s="96"/>
      <c r="FD12" s="96"/>
      <c r="FE12" s="96"/>
      <c r="FF12" s="96"/>
      <c r="FG12" s="96"/>
      <c r="FH12" s="96"/>
      <c r="FI12" s="96"/>
      <c r="FJ12" s="96"/>
      <c r="FK12" s="96"/>
      <c r="FL12" s="96"/>
      <c r="FM12" s="96"/>
      <c r="FN12" s="96"/>
      <c r="FO12" s="96"/>
      <c r="FP12" s="96"/>
      <c r="FQ12" s="96"/>
      <c r="FR12" s="96"/>
      <c r="FS12" s="96"/>
      <c r="FT12" s="96"/>
      <c r="FU12" s="96"/>
      <c r="FV12" s="96"/>
      <c r="FW12" s="96"/>
      <c r="FX12" s="96"/>
      <c r="FY12" s="96"/>
      <c r="FZ12" s="96"/>
      <c r="GA12" s="96"/>
      <c r="GB12" s="96"/>
      <c r="GC12" s="96"/>
      <c r="GD12" s="96"/>
      <c r="GE12" s="96"/>
      <c r="GF12" s="96"/>
      <c r="GG12" s="96"/>
      <c r="GH12" s="96"/>
      <c r="GI12" s="96"/>
      <c r="GJ12" s="96"/>
      <c r="GK12" s="96"/>
      <c r="GL12" s="96"/>
      <c r="GM12" s="96"/>
      <c r="GN12" s="96"/>
      <c r="GO12" s="96"/>
      <c r="GP12" s="96"/>
      <c r="GQ12" s="96"/>
      <c r="GR12" s="96"/>
      <c r="GS12" s="96"/>
      <c r="GT12" s="96"/>
      <c r="GU12" s="96"/>
      <c r="GV12" s="96"/>
      <c r="GW12" s="96"/>
      <c r="GX12" s="96"/>
      <c r="GY12" s="96"/>
      <c r="GZ12" s="96"/>
      <c r="HA12" s="96"/>
      <c r="HB12" s="96"/>
      <c r="HC12" s="96"/>
      <c r="HD12" s="96"/>
      <c r="HE12" s="96"/>
      <c r="HF12" s="96"/>
      <c r="HG12" s="96"/>
      <c r="HH12" s="96"/>
      <c r="HI12" s="96"/>
      <c r="HJ12" s="96"/>
      <c r="HK12" s="96"/>
      <c r="HL12" s="96"/>
      <c r="HM12" s="96"/>
      <c r="HN12" s="96"/>
      <c r="HO12" s="96"/>
      <c r="HP12" s="96"/>
      <c r="HQ12" s="96"/>
      <c r="HR12" s="96"/>
      <c r="HS12" s="96"/>
      <c r="HT12" s="96"/>
      <c r="HU12" s="96"/>
      <c r="HV12" s="96"/>
      <c r="HW12" s="96"/>
      <c r="HX12" s="96"/>
      <c r="HY12" s="96"/>
      <c r="HZ12" s="96"/>
      <c r="IA12" s="96"/>
      <c r="IB12" s="96"/>
      <c r="IC12" s="96"/>
      <c r="ID12" s="96"/>
      <c r="IE12" s="96"/>
      <c r="IF12" s="96"/>
      <c r="IG12" s="96"/>
      <c r="IH12" s="96"/>
      <c r="II12" s="96"/>
      <c r="IJ12" s="96"/>
      <c r="IK12" s="96"/>
      <c r="IL12" s="96"/>
      <c r="IM12" s="96"/>
      <c r="IN12" s="96"/>
      <c r="IO12" s="96"/>
      <c r="IP12" s="96"/>
      <c r="IQ12" s="96"/>
      <c r="IR12" s="96"/>
      <c r="IS12" s="96"/>
      <c r="IT12" s="96"/>
      <c r="IU12" s="96"/>
      <c r="IV12" s="96"/>
      <c r="IW12" s="96"/>
    </row>
    <row r="13" s="97" customFormat="true" ht="23.1" hidden="false" customHeight="false" outlineLevel="0" collapsed="false">
      <c r="A13" s="98" t="s">
        <v>289</v>
      </c>
      <c r="B13" s="98" t="s">
        <v>283</v>
      </c>
      <c r="C13" s="98" t="n">
        <v>50</v>
      </c>
      <c r="D13" s="98" t="n">
        <v>2</v>
      </c>
      <c r="E13" s="98" t="s">
        <v>18</v>
      </c>
      <c r="F13" s="98" t="n">
        <v>44</v>
      </c>
      <c r="G13" s="98" t="n">
        <v>9</v>
      </c>
      <c r="H13" s="98" t="n">
        <v>12.5</v>
      </c>
      <c r="I13" s="98" t="n">
        <v>520</v>
      </c>
      <c r="J13" s="98" t="s">
        <v>290</v>
      </c>
      <c r="K13" s="98" t="s">
        <v>285</v>
      </c>
      <c r="L13" s="99" t="s">
        <v>291</v>
      </c>
      <c r="M13" s="98" t="n">
        <v>200</v>
      </c>
      <c r="N13" s="100" t="s">
        <v>287</v>
      </c>
      <c r="O13" s="100" t="n">
        <v>0.85</v>
      </c>
      <c r="P13" s="101" t="s">
        <v>288</v>
      </c>
      <c r="Q13" s="101" t="n">
        <v>2.3</v>
      </c>
      <c r="R13" s="96"/>
      <c r="S13" s="96"/>
      <c r="T13" s="96"/>
      <c r="U13" s="96"/>
      <c r="V13" s="96"/>
      <c r="W13" s="96"/>
      <c r="X13" s="96"/>
      <c r="Y13" s="96"/>
      <c r="Z13" s="96"/>
      <c r="AA13" s="96"/>
      <c r="AB13" s="96"/>
      <c r="AC13" s="96"/>
      <c r="AD13" s="96"/>
      <c r="AE13" s="96"/>
      <c r="AF13" s="96"/>
      <c r="AG13" s="96"/>
      <c r="AH13" s="96"/>
      <c r="AI13" s="96"/>
      <c r="AJ13" s="96"/>
      <c r="AK13" s="96"/>
      <c r="AL13" s="96"/>
      <c r="AM13" s="96"/>
      <c r="AN13" s="96"/>
      <c r="AO13" s="96"/>
      <c r="AP13" s="96"/>
      <c r="AQ13" s="96"/>
      <c r="AR13" s="96"/>
      <c r="AS13" s="96"/>
      <c r="AT13" s="96"/>
      <c r="AU13" s="96"/>
      <c r="AV13" s="96"/>
      <c r="AW13" s="96"/>
      <c r="AX13" s="96"/>
      <c r="AY13" s="96"/>
      <c r="AZ13" s="96"/>
      <c r="BA13" s="96"/>
      <c r="BB13" s="96"/>
      <c r="BC13" s="96"/>
      <c r="BD13" s="96"/>
      <c r="BE13" s="96"/>
      <c r="BF13" s="96"/>
      <c r="BG13" s="96"/>
      <c r="BH13" s="96"/>
      <c r="BI13" s="96"/>
      <c r="BJ13" s="96"/>
      <c r="BK13" s="96"/>
      <c r="BL13" s="96"/>
      <c r="BM13" s="96"/>
      <c r="BN13" s="96"/>
      <c r="BO13" s="96"/>
      <c r="BP13" s="96"/>
      <c r="BQ13" s="96"/>
      <c r="BR13" s="96"/>
      <c r="BS13" s="96"/>
      <c r="BT13" s="96"/>
      <c r="BU13" s="96"/>
      <c r="BV13" s="96"/>
      <c r="BW13" s="96"/>
      <c r="BX13" s="96"/>
      <c r="BY13" s="96"/>
      <c r="BZ13" s="96"/>
      <c r="CA13" s="96"/>
      <c r="CB13" s="96"/>
      <c r="CC13" s="96"/>
      <c r="CD13" s="96"/>
      <c r="CE13" s="96"/>
      <c r="CF13" s="96"/>
      <c r="CG13" s="96"/>
      <c r="CH13" s="96"/>
      <c r="CI13" s="96"/>
      <c r="CJ13" s="96"/>
      <c r="CK13" s="96"/>
      <c r="CL13" s="96"/>
      <c r="CM13" s="96"/>
      <c r="CN13" s="96"/>
      <c r="CO13" s="96"/>
      <c r="CP13" s="96"/>
      <c r="CQ13" s="96"/>
      <c r="CR13" s="96"/>
      <c r="CS13" s="96"/>
      <c r="CT13" s="96"/>
      <c r="CU13" s="96"/>
      <c r="CV13" s="96"/>
      <c r="CW13" s="96"/>
      <c r="CX13" s="96"/>
      <c r="CY13" s="96"/>
      <c r="CZ13" s="96"/>
      <c r="DA13" s="96"/>
      <c r="DB13" s="96"/>
      <c r="DC13" s="96"/>
      <c r="DD13" s="96"/>
      <c r="DE13" s="96"/>
      <c r="DF13" s="96"/>
      <c r="DG13" s="96"/>
      <c r="DH13" s="96"/>
      <c r="DI13" s="96"/>
      <c r="DJ13" s="96"/>
      <c r="DK13" s="96"/>
      <c r="DL13" s="96"/>
      <c r="DM13" s="96"/>
      <c r="DN13" s="96"/>
      <c r="DO13" s="96"/>
      <c r="DP13" s="96"/>
      <c r="DQ13" s="96"/>
      <c r="DR13" s="96"/>
      <c r="DS13" s="96"/>
      <c r="DT13" s="96"/>
      <c r="DU13" s="96"/>
      <c r="DV13" s="96"/>
      <c r="DW13" s="96"/>
      <c r="DX13" s="96"/>
      <c r="DY13" s="96"/>
      <c r="DZ13" s="96"/>
      <c r="EA13" s="96"/>
      <c r="EB13" s="96"/>
      <c r="EC13" s="96"/>
      <c r="ED13" s="96"/>
      <c r="EE13" s="96"/>
      <c r="EF13" s="96"/>
      <c r="EG13" s="96"/>
      <c r="EH13" s="96"/>
      <c r="EI13" s="96"/>
      <c r="EJ13" s="96"/>
      <c r="EK13" s="96"/>
      <c r="EL13" s="96"/>
      <c r="EM13" s="96"/>
      <c r="EN13" s="96"/>
      <c r="EO13" s="96"/>
      <c r="EP13" s="96"/>
      <c r="EQ13" s="96"/>
      <c r="ER13" s="96"/>
      <c r="ES13" s="96"/>
      <c r="ET13" s="96"/>
      <c r="EU13" s="96"/>
      <c r="EV13" s="96"/>
      <c r="EW13" s="96"/>
      <c r="EX13" s="96"/>
      <c r="EY13" s="96"/>
      <c r="EZ13" s="96"/>
      <c r="FA13" s="96"/>
      <c r="FB13" s="96"/>
      <c r="FC13" s="96"/>
      <c r="FD13" s="96"/>
      <c r="FE13" s="96"/>
      <c r="FF13" s="96"/>
      <c r="FG13" s="96"/>
      <c r="FH13" s="96"/>
      <c r="FI13" s="96"/>
      <c r="FJ13" s="96"/>
      <c r="FK13" s="96"/>
      <c r="FL13" s="96"/>
      <c r="FM13" s="96"/>
      <c r="FN13" s="96"/>
      <c r="FO13" s="96"/>
      <c r="FP13" s="96"/>
      <c r="FQ13" s="96"/>
      <c r="FR13" s="96"/>
      <c r="FS13" s="96"/>
      <c r="FT13" s="96"/>
      <c r="FU13" s="96"/>
      <c r="FV13" s="96"/>
      <c r="FW13" s="96"/>
      <c r="FX13" s="96"/>
      <c r="FY13" s="96"/>
      <c r="FZ13" s="96"/>
      <c r="GA13" s="96"/>
      <c r="GB13" s="96"/>
      <c r="GC13" s="96"/>
      <c r="GD13" s="96"/>
      <c r="GE13" s="96"/>
      <c r="GF13" s="96"/>
      <c r="GG13" s="96"/>
      <c r="GH13" s="96"/>
      <c r="GI13" s="96"/>
      <c r="GJ13" s="96"/>
      <c r="GK13" s="96"/>
      <c r="GL13" s="96"/>
      <c r="GM13" s="96"/>
      <c r="GN13" s="96"/>
      <c r="GO13" s="96"/>
      <c r="GP13" s="96"/>
      <c r="GQ13" s="96"/>
      <c r="GR13" s="96"/>
      <c r="GS13" s="96"/>
      <c r="GT13" s="96"/>
      <c r="GU13" s="96"/>
      <c r="GV13" s="96"/>
      <c r="GW13" s="96"/>
      <c r="GX13" s="96"/>
      <c r="GY13" s="96"/>
      <c r="GZ13" s="96"/>
      <c r="HA13" s="96"/>
      <c r="HB13" s="96"/>
      <c r="HC13" s="96"/>
      <c r="HD13" s="96"/>
      <c r="HE13" s="96"/>
      <c r="HF13" s="96"/>
      <c r="HG13" s="96"/>
      <c r="HH13" s="96"/>
      <c r="HI13" s="96"/>
      <c r="HJ13" s="96"/>
      <c r="HK13" s="96"/>
      <c r="HL13" s="96"/>
      <c r="HM13" s="96"/>
      <c r="HN13" s="96"/>
      <c r="HO13" s="96"/>
      <c r="HP13" s="96"/>
      <c r="HQ13" s="96"/>
      <c r="HR13" s="96"/>
      <c r="HS13" s="96"/>
      <c r="HT13" s="96"/>
      <c r="HU13" s="96"/>
      <c r="HV13" s="96"/>
      <c r="HW13" s="96"/>
      <c r="HX13" s="96"/>
      <c r="HY13" s="96"/>
      <c r="HZ13" s="96"/>
      <c r="IA13" s="96"/>
      <c r="IB13" s="96"/>
      <c r="IC13" s="96"/>
      <c r="ID13" s="96"/>
      <c r="IE13" s="96"/>
      <c r="IF13" s="96"/>
      <c r="IG13" s="96"/>
      <c r="IH13" s="96"/>
      <c r="II13" s="96"/>
      <c r="IJ13" s="96"/>
      <c r="IK13" s="96"/>
      <c r="IL13" s="96"/>
      <c r="IM13" s="96"/>
      <c r="IN13" s="96"/>
      <c r="IO13" s="96"/>
      <c r="IP13" s="96"/>
      <c r="IQ13" s="96"/>
      <c r="IR13" s="96"/>
      <c r="IS13" s="96"/>
      <c r="IT13" s="96"/>
      <c r="IU13" s="96"/>
      <c r="IV13" s="96"/>
      <c r="IW13" s="96"/>
    </row>
    <row r="14" s="97" customFormat="true" ht="23.1" hidden="false" customHeight="false" outlineLevel="0" collapsed="false">
      <c r="A14" s="98" t="s">
        <v>292</v>
      </c>
      <c r="B14" s="98" t="s">
        <v>293</v>
      </c>
      <c r="C14" s="98" t="n">
        <v>65</v>
      </c>
      <c r="D14" s="98" t="n">
        <v>40</v>
      </c>
      <c r="E14" s="98" t="s">
        <v>18</v>
      </c>
      <c r="F14" s="98" t="n">
        <v>120</v>
      </c>
      <c r="G14" s="98" t="n">
        <v>25</v>
      </c>
      <c r="H14" s="98" t="n">
        <v>250</v>
      </c>
      <c r="I14" s="98" t="n">
        <v>600</v>
      </c>
      <c r="J14" s="98" t="s">
        <v>294</v>
      </c>
      <c r="K14" s="98" t="s">
        <v>269</v>
      </c>
      <c r="L14" s="99" t="s">
        <v>295</v>
      </c>
      <c r="M14" s="98" t="n">
        <v>200</v>
      </c>
      <c r="N14" s="100" t="s">
        <v>296</v>
      </c>
      <c r="O14" s="100" t="n">
        <v>0.85</v>
      </c>
      <c r="P14" s="101" t="s">
        <v>288</v>
      </c>
      <c r="Q14" s="101" t="n">
        <v>2.3</v>
      </c>
      <c r="R14" s="96"/>
      <c r="S14" s="96"/>
      <c r="T14" s="96"/>
      <c r="U14" s="96"/>
      <c r="V14" s="96"/>
      <c r="W14" s="96"/>
      <c r="X14" s="96"/>
      <c r="Y14" s="96"/>
      <c r="Z14" s="96"/>
      <c r="AA14" s="96"/>
      <c r="AB14" s="96"/>
      <c r="AC14" s="96"/>
      <c r="AD14" s="96"/>
      <c r="AE14" s="96"/>
      <c r="AF14" s="96"/>
      <c r="AG14" s="96"/>
      <c r="AH14" s="96"/>
      <c r="AI14" s="96"/>
      <c r="AJ14" s="96"/>
      <c r="AK14" s="96"/>
      <c r="AL14" s="96"/>
      <c r="AM14" s="96"/>
      <c r="AN14" s="96"/>
      <c r="AO14" s="96"/>
      <c r="AP14" s="96"/>
      <c r="AQ14" s="96"/>
      <c r="AR14" s="96"/>
      <c r="AS14" s="96"/>
      <c r="AT14" s="96"/>
      <c r="AU14" s="96"/>
      <c r="AV14" s="96"/>
      <c r="AW14" s="96"/>
      <c r="AX14" s="96"/>
      <c r="AY14" s="96"/>
      <c r="AZ14" s="96"/>
      <c r="BA14" s="96"/>
      <c r="BB14" s="96"/>
      <c r="BC14" s="96"/>
      <c r="BD14" s="96"/>
      <c r="BE14" s="96"/>
      <c r="BF14" s="96"/>
      <c r="BG14" s="96"/>
      <c r="BH14" s="96"/>
      <c r="BI14" s="96"/>
      <c r="BJ14" s="96"/>
      <c r="BK14" s="96"/>
      <c r="BL14" s="96"/>
      <c r="BM14" s="96"/>
      <c r="BN14" s="96"/>
      <c r="BO14" s="96"/>
      <c r="BP14" s="96"/>
      <c r="BQ14" s="96"/>
      <c r="BR14" s="96"/>
      <c r="BS14" s="96"/>
      <c r="BT14" s="96"/>
      <c r="BU14" s="96"/>
      <c r="BV14" s="96"/>
      <c r="BW14" s="96"/>
      <c r="BX14" s="96"/>
      <c r="BY14" s="96"/>
      <c r="BZ14" s="96"/>
      <c r="CA14" s="96"/>
      <c r="CB14" s="96"/>
      <c r="CC14" s="96"/>
      <c r="CD14" s="96"/>
      <c r="CE14" s="96"/>
      <c r="CF14" s="96"/>
      <c r="CG14" s="96"/>
      <c r="CH14" s="96"/>
      <c r="CI14" s="96"/>
      <c r="CJ14" s="96"/>
      <c r="CK14" s="96"/>
      <c r="CL14" s="96"/>
      <c r="CM14" s="96"/>
      <c r="CN14" s="96"/>
      <c r="CO14" s="96"/>
      <c r="CP14" s="96"/>
      <c r="CQ14" s="96"/>
      <c r="CR14" s="96"/>
      <c r="CS14" s="96"/>
      <c r="CT14" s="96"/>
      <c r="CU14" s="96"/>
      <c r="CV14" s="96"/>
      <c r="CW14" s="96"/>
      <c r="CX14" s="96"/>
      <c r="CY14" s="96"/>
      <c r="CZ14" s="96"/>
      <c r="DA14" s="96"/>
      <c r="DB14" s="96"/>
      <c r="DC14" s="96"/>
      <c r="DD14" s="96"/>
      <c r="DE14" s="96"/>
      <c r="DF14" s="96"/>
      <c r="DG14" s="96"/>
      <c r="DH14" s="96"/>
      <c r="DI14" s="96"/>
      <c r="DJ14" s="96"/>
      <c r="DK14" s="96"/>
      <c r="DL14" s="96"/>
      <c r="DM14" s="96"/>
      <c r="DN14" s="96"/>
      <c r="DO14" s="96"/>
      <c r="DP14" s="96"/>
      <c r="DQ14" s="96"/>
      <c r="DR14" s="96"/>
      <c r="DS14" s="96"/>
      <c r="DT14" s="96"/>
      <c r="DU14" s="96"/>
      <c r="DV14" s="96"/>
      <c r="DW14" s="96"/>
      <c r="DX14" s="96"/>
      <c r="DY14" s="96"/>
      <c r="DZ14" s="96"/>
      <c r="EA14" s="96"/>
      <c r="EB14" s="96"/>
      <c r="EC14" s="96"/>
      <c r="ED14" s="96"/>
      <c r="EE14" s="96"/>
      <c r="EF14" s="96"/>
      <c r="EG14" s="96"/>
      <c r="EH14" s="96"/>
      <c r="EI14" s="96"/>
      <c r="EJ14" s="96"/>
      <c r="EK14" s="96"/>
      <c r="EL14" s="96"/>
      <c r="EM14" s="96"/>
      <c r="EN14" s="96"/>
      <c r="EO14" s="96"/>
      <c r="EP14" s="96"/>
      <c r="EQ14" s="96"/>
      <c r="ER14" s="96"/>
      <c r="ES14" s="96"/>
      <c r="ET14" s="96"/>
      <c r="EU14" s="96"/>
      <c r="EV14" s="96"/>
      <c r="EW14" s="96"/>
      <c r="EX14" s="96"/>
      <c r="EY14" s="96"/>
      <c r="EZ14" s="96"/>
      <c r="FA14" s="96"/>
      <c r="FB14" s="96"/>
      <c r="FC14" s="96"/>
      <c r="FD14" s="96"/>
      <c r="FE14" s="96"/>
      <c r="FF14" s="96"/>
      <c r="FG14" s="96"/>
      <c r="FH14" s="96"/>
      <c r="FI14" s="96"/>
      <c r="FJ14" s="96"/>
      <c r="FK14" s="96"/>
      <c r="FL14" s="96"/>
      <c r="FM14" s="96"/>
      <c r="FN14" s="96"/>
      <c r="FO14" s="96"/>
      <c r="FP14" s="96"/>
      <c r="FQ14" s="96"/>
      <c r="FR14" s="96"/>
      <c r="FS14" s="96"/>
      <c r="FT14" s="96"/>
      <c r="FU14" s="96"/>
      <c r="FV14" s="96"/>
      <c r="FW14" s="96"/>
      <c r="FX14" s="96"/>
      <c r="FY14" s="96"/>
      <c r="FZ14" s="96"/>
      <c r="GA14" s="96"/>
      <c r="GB14" s="96"/>
      <c r="GC14" s="96"/>
      <c r="GD14" s="96"/>
      <c r="GE14" s="96"/>
      <c r="GF14" s="96"/>
      <c r="GG14" s="96"/>
      <c r="GH14" s="96"/>
      <c r="GI14" s="96"/>
      <c r="GJ14" s="96"/>
      <c r="GK14" s="96"/>
      <c r="GL14" s="96"/>
      <c r="GM14" s="96"/>
      <c r="GN14" s="96"/>
      <c r="GO14" s="96"/>
      <c r="GP14" s="96"/>
      <c r="GQ14" s="96"/>
      <c r="GR14" s="96"/>
      <c r="GS14" s="96"/>
      <c r="GT14" s="96"/>
      <c r="GU14" s="96"/>
      <c r="GV14" s="96"/>
      <c r="GW14" s="96"/>
      <c r="GX14" s="96"/>
      <c r="GY14" s="96"/>
      <c r="GZ14" s="96"/>
      <c r="HA14" s="96"/>
      <c r="HB14" s="96"/>
      <c r="HC14" s="96"/>
      <c r="HD14" s="96"/>
      <c r="HE14" s="96"/>
      <c r="HF14" s="96"/>
      <c r="HG14" s="96"/>
      <c r="HH14" s="96"/>
      <c r="HI14" s="96"/>
      <c r="HJ14" s="96"/>
      <c r="HK14" s="96"/>
      <c r="HL14" s="96"/>
      <c r="HM14" s="96"/>
      <c r="HN14" s="96"/>
      <c r="HO14" s="96"/>
      <c r="HP14" s="96"/>
      <c r="HQ14" s="96"/>
      <c r="HR14" s="96"/>
      <c r="HS14" s="96"/>
      <c r="HT14" s="96"/>
      <c r="HU14" s="96"/>
      <c r="HV14" s="96"/>
      <c r="HW14" s="96"/>
      <c r="HX14" s="96"/>
      <c r="HY14" s="96"/>
      <c r="HZ14" s="96"/>
      <c r="IA14" s="96"/>
      <c r="IB14" s="96"/>
      <c r="IC14" s="96"/>
      <c r="ID14" s="96"/>
      <c r="IE14" s="96"/>
      <c r="IF14" s="96"/>
      <c r="IG14" s="96"/>
      <c r="IH14" s="96"/>
      <c r="II14" s="96"/>
      <c r="IJ14" s="96"/>
      <c r="IK14" s="96"/>
      <c r="IL14" s="96"/>
      <c r="IM14" s="96"/>
      <c r="IN14" s="96"/>
      <c r="IO14" s="96"/>
      <c r="IP14" s="96"/>
      <c r="IQ14" s="96"/>
      <c r="IR14" s="96"/>
      <c r="IS14" s="96"/>
      <c r="IT14" s="96"/>
      <c r="IU14" s="96"/>
      <c r="IV14" s="96"/>
      <c r="IW14" s="96"/>
    </row>
    <row r="15" s="97" customFormat="true" ht="44.75" hidden="false" customHeight="false" outlineLevel="0" collapsed="false">
      <c r="A15" s="98" t="s">
        <v>297</v>
      </c>
      <c r="B15" s="98" t="s">
        <v>298</v>
      </c>
      <c r="C15" s="98" t="n">
        <v>500</v>
      </c>
      <c r="D15" s="98" t="n">
        <v>55</v>
      </c>
      <c r="E15" s="98" t="n">
        <v>0.065</v>
      </c>
      <c r="F15" s="98" t="n">
        <v>4900</v>
      </c>
      <c r="G15" s="98" t="n">
        <v>1200</v>
      </c>
      <c r="H15" s="98" t="n">
        <v>500</v>
      </c>
      <c r="I15" s="98" t="n">
        <v>0</v>
      </c>
      <c r="J15" s="98" t="s">
        <v>299</v>
      </c>
      <c r="K15" s="98" t="s">
        <v>300</v>
      </c>
      <c r="L15" s="99" t="s">
        <v>301</v>
      </c>
      <c r="M15" s="98" t="n">
        <v>150</v>
      </c>
      <c r="N15" s="100" t="s">
        <v>262</v>
      </c>
      <c r="O15" s="100" t="n">
        <v>0.35</v>
      </c>
      <c r="P15" s="101" t="s">
        <v>263</v>
      </c>
      <c r="Q15" s="101" t="n">
        <v>2.3</v>
      </c>
      <c r="R15" s="96"/>
      <c r="S15" s="96"/>
      <c r="T15" s="96"/>
      <c r="U15" s="96"/>
      <c r="V15" s="96"/>
      <c r="W15" s="96"/>
      <c r="X15" s="96"/>
      <c r="Y15" s="96"/>
      <c r="Z15" s="96"/>
      <c r="AA15" s="96"/>
      <c r="AB15" s="96"/>
      <c r="AC15" s="96"/>
      <c r="AD15" s="96"/>
      <c r="AE15" s="96"/>
      <c r="AF15" s="96"/>
      <c r="AG15" s="96"/>
      <c r="AH15" s="96"/>
      <c r="AI15" s="96"/>
      <c r="AJ15" s="96"/>
      <c r="AK15" s="96"/>
      <c r="AL15" s="96"/>
      <c r="AM15" s="96"/>
      <c r="AN15" s="96"/>
      <c r="AO15" s="96"/>
      <c r="AP15" s="96"/>
      <c r="AQ15" s="96"/>
      <c r="AR15" s="96"/>
      <c r="AS15" s="96"/>
      <c r="AT15" s="96"/>
      <c r="AU15" s="96"/>
      <c r="AV15" s="96"/>
      <c r="AW15" s="96"/>
      <c r="AX15" s="96"/>
      <c r="AY15" s="96"/>
      <c r="AZ15" s="96"/>
      <c r="BA15" s="96"/>
      <c r="BB15" s="96"/>
      <c r="BC15" s="96"/>
      <c r="BD15" s="96"/>
      <c r="BE15" s="96"/>
      <c r="BF15" s="96"/>
      <c r="BG15" s="96"/>
      <c r="BH15" s="96"/>
      <c r="BI15" s="96"/>
      <c r="BJ15" s="96"/>
      <c r="BK15" s="96"/>
      <c r="BL15" s="96"/>
      <c r="BM15" s="96"/>
      <c r="BN15" s="96"/>
      <c r="BO15" s="96"/>
      <c r="BP15" s="96"/>
      <c r="BQ15" s="96"/>
      <c r="BR15" s="96"/>
      <c r="BS15" s="96"/>
      <c r="BT15" s="96"/>
      <c r="BU15" s="96"/>
      <c r="BV15" s="96"/>
      <c r="BW15" s="96"/>
      <c r="BX15" s="96"/>
      <c r="BY15" s="96"/>
      <c r="BZ15" s="96"/>
      <c r="CA15" s="96"/>
      <c r="CB15" s="96"/>
      <c r="CC15" s="96"/>
      <c r="CD15" s="96"/>
      <c r="CE15" s="96"/>
      <c r="CF15" s="96"/>
      <c r="CG15" s="96"/>
      <c r="CH15" s="96"/>
      <c r="CI15" s="96"/>
      <c r="CJ15" s="96"/>
      <c r="CK15" s="96"/>
      <c r="CL15" s="96"/>
      <c r="CM15" s="96"/>
      <c r="CN15" s="96"/>
      <c r="CO15" s="96"/>
      <c r="CP15" s="96"/>
      <c r="CQ15" s="96"/>
      <c r="CR15" s="96"/>
      <c r="CS15" s="96"/>
      <c r="CT15" s="96"/>
      <c r="CU15" s="96"/>
      <c r="CV15" s="96"/>
      <c r="CW15" s="96"/>
      <c r="CX15" s="96"/>
      <c r="CY15" s="96"/>
      <c r="CZ15" s="96"/>
      <c r="DA15" s="96"/>
      <c r="DB15" s="96"/>
      <c r="DC15" s="96"/>
      <c r="DD15" s="96"/>
      <c r="DE15" s="96"/>
      <c r="DF15" s="96"/>
      <c r="DG15" s="96"/>
      <c r="DH15" s="96"/>
      <c r="DI15" s="96"/>
      <c r="DJ15" s="96"/>
      <c r="DK15" s="96"/>
      <c r="DL15" s="96"/>
      <c r="DM15" s="96"/>
      <c r="DN15" s="96"/>
      <c r="DO15" s="96"/>
      <c r="DP15" s="96"/>
      <c r="DQ15" s="96"/>
      <c r="DR15" s="96"/>
      <c r="DS15" s="96"/>
      <c r="DT15" s="96"/>
      <c r="DU15" s="96"/>
      <c r="DV15" s="96"/>
      <c r="DW15" s="96"/>
      <c r="DX15" s="96"/>
      <c r="DY15" s="96"/>
      <c r="DZ15" s="96"/>
      <c r="EA15" s="96"/>
      <c r="EB15" s="96"/>
      <c r="EC15" s="96"/>
      <c r="ED15" s="96"/>
      <c r="EE15" s="96"/>
      <c r="EF15" s="96"/>
      <c r="EG15" s="96"/>
      <c r="EH15" s="96"/>
      <c r="EI15" s="96"/>
      <c r="EJ15" s="96"/>
      <c r="EK15" s="96"/>
      <c r="EL15" s="96"/>
      <c r="EM15" s="96"/>
      <c r="EN15" s="96"/>
      <c r="EO15" s="96"/>
      <c r="EP15" s="96"/>
      <c r="EQ15" s="96"/>
      <c r="ER15" s="96"/>
      <c r="ES15" s="96"/>
      <c r="ET15" s="96"/>
      <c r="EU15" s="96"/>
      <c r="EV15" s="96"/>
      <c r="EW15" s="96"/>
      <c r="EX15" s="96"/>
      <c r="EY15" s="96"/>
      <c r="EZ15" s="96"/>
      <c r="FA15" s="96"/>
      <c r="FB15" s="96"/>
      <c r="FC15" s="96"/>
      <c r="FD15" s="96"/>
      <c r="FE15" s="96"/>
      <c r="FF15" s="96"/>
      <c r="FG15" s="96"/>
      <c r="FH15" s="96"/>
      <c r="FI15" s="96"/>
      <c r="FJ15" s="96"/>
      <c r="FK15" s="96"/>
      <c r="FL15" s="96"/>
      <c r="FM15" s="96"/>
      <c r="FN15" s="96"/>
      <c r="FO15" s="96"/>
      <c r="FP15" s="96"/>
      <c r="FQ15" s="96"/>
      <c r="FR15" s="96"/>
      <c r="FS15" s="96"/>
      <c r="FT15" s="96"/>
      <c r="FU15" s="96"/>
      <c r="FV15" s="96"/>
      <c r="FW15" s="96"/>
      <c r="FX15" s="96"/>
      <c r="FY15" s="96"/>
      <c r="FZ15" s="96"/>
      <c r="GA15" s="96"/>
      <c r="GB15" s="96"/>
      <c r="GC15" s="96"/>
      <c r="GD15" s="96"/>
      <c r="GE15" s="96"/>
      <c r="GF15" s="96"/>
      <c r="GG15" s="96"/>
      <c r="GH15" s="96"/>
      <c r="GI15" s="96"/>
      <c r="GJ15" s="96"/>
      <c r="GK15" s="96"/>
      <c r="GL15" s="96"/>
      <c r="GM15" s="96"/>
      <c r="GN15" s="96"/>
      <c r="GO15" s="96"/>
      <c r="GP15" s="96"/>
      <c r="GQ15" s="96"/>
      <c r="GR15" s="96"/>
      <c r="GS15" s="96"/>
      <c r="GT15" s="96"/>
      <c r="GU15" s="96"/>
      <c r="GV15" s="96"/>
      <c r="GW15" s="96"/>
      <c r="GX15" s="96"/>
      <c r="GY15" s="96"/>
      <c r="GZ15" s="96"/>
      <c r="HA15" s="96"/>
      <c r="HB15" s="96"/>
      <c r="HC15" s="96"/>
      <c r="HD15" s="96"/>
      <c r="HE15" s="96"/>
      <c r="HF15" s="96"/>
      <c r="HG15" s="96"/>
      <c r="HH15" s="96"/>
      <c r="HI15" s="96"/>
      <c r="HJ15" s="96"/>
      <c r="HK15" s="96"/>
      <c r="HL15" s="96"/>
      <c r="HM15" s="96"/>
      <c r="HN15" s="96"/>
      <c r="HO15" s="96"/>
      <c r="HP15" s="96"/>
      <c r="HQ15" s="96"/>
      <c r="HR15" s="96"/>
      <c r="HS15" s="96"/>
      <c r="HT15" s="96"/>
      <c r="HU15" s="96"/>
      <c r="HV15" s="96"/>
      <c r="HW15" s="96"/>
      <c r="HX15" s="96"/>
      <c r="HY15" s="96"/>
      <c r="HZ15" s="96"/>
      <c r="IA15" s="96"/>
      <c r="IB15" s="96"/>
      <c r="IC15" s="96"/>
      <c r="ID15" s="96"/>
      <c r="IE15" s="96"/>
      <c r="IF15" s="96"/>
      <c r="IG15" s="96"/>
      <c r="IH15" s="96"/>
      <c r="II15" s="96"/>
      <c r="IJ15" s="96"/>
      <c r="IK15" s="96"/>
      <c r="IL15" s="96"/>
      <c r="IM15" s="96"/>
      <c r="IN15" s="96"/>
      <c r="IO15" s="96"/>
      <c r="IP15" s="96"/>
      <c r="IQ15" s="96"/>
      <c r="IR15" s="96"/>
      <c r="IS15" s="96"/>
      <c r="IT15" s="96"/>
      <c r="IU15" s="96"/>
      <c r="IV15" s="96"/>
      <c r="IW15" s="96"/>
    </row>
    <row r="16" s="97" customFormat="true" ht="23.1" hidden="false" customHeight="false" outlineLevel="0" collapsed="false">
      <c r="A16" s="98" t="s">
        <v>302</v>
      </c>
      <c r="B16" s="98" t="s">
        <v>258</v>
      </c>
      <c r="C16" s="98" t="n">
        <v>200</v>
      </c>
      <c r="D16" s="98" t="n">
        <v>7</v>
      </c>
      <c r="E16" s="98" t="n">
        <v>0.5</v>
      </c>
      <c r="F16" s="98" t="n">
        <v>450</v>
      </c>
      <c r="G16" s="98" t="n">
        <v>200</v>
      </c>
      <c r="H16" s="98" t="n">
        <v>40</v>
      </c>
      <c r="I16" s="98" t="n">
        <v>70</v>
      </c>
      <c r="J16" s="98" t="s">
        <v>303</v>
      </c>
      <c r="K16" s="98" t="s">
        <v>273</v>
      </c>
      <c r="L16" s="99" t="s">
        <v>304</v>
      </c>
      <c r="M16" s="98" t="n">
        <v>150</v>
      </c>
      <c r="N16" s="100" t="s">
        <v>305</v>
      </c>
      <c r="O16" s="100" t="n">
        <v>0.35</v>
      </c>
      <c r="P16" s="101" t="s">
        <v>263</v>
      </c>
      <c r="Q16" s="101" t="n">
        <v>2.3</v>
      </c>
      <c r="R16" s="96"/>
      <c r="S16" s="96"/>
      <c r="T16" s="96"/>
      <c r="U16" s="96"/>
      <c r="V16" s="96"/>
      <c r="W16" s="96"/>
      <c r="X16" s="96"/>
      <c r="Y16" s="96"/>
      <c r="Z16" s="96"/>
      <c r="AA16" s="96"/>
      <c r="AB16" s="96"/>
      <c r="AC16" s="96"/>
      <c r="AD16" s="96"/>
      <c r="AE16" s="96"/>
      <c r="AF16" s="96"/>
      <c r="AG16" s="96"/>
      <c r="AH16" s="96"/>
      <c r="AI16" s="96"/>
      <c r="AJ16" s="96"/>
      <c r="AK16" s="96"/>
      <c r="AL16" s="96"/>
      <c r="AM16" s="96"/>
      <c r="AN16" s="96"/>
      <c r="AO16" s="96"/>
      <c r="AP16" s="96"/>
      <c r="AQ16" s="96"/>
      <c r="AR16" s="96"/>
      <c r="AS16" s="96"/>
      <c r="AT16" s="96"/>
      <c r="AU16" s="96"/>
      <c r="AV16" s="96"/>
      <c r="AW16" s="96"/>
      <c r="AX16" s="96"/>
      <c r="AY16" s="96"/>
      <c r="AZ16" s="96"/>
      <c r="BA16" s="96"/>
      <c r="BB16" s="96"/>
      <c r="BC16" s="96"/>
      <c r="BD16" s="96"/>
      <c r="BE16" s="96"/>
      <c r="BF16" s="96"/>
      <c r="BG16" s="96"/>
      <c r="BH16" s="96"/>
      <c r="BI16" s="96"/>
      <c r="BJ16" s="96"/>
      <c r="BK16" s="96"/>
      <c r="BL16" s="96"/>
      <c r="BM16" s="96"/>
      <c r="BN16" s="96"/>
      <c r="BO16" s="96"/>
      <c r="BP16" s="96"/>
      <c r="BQ16" s="96"/>
      <c r="BR16" s="96"/>
      <c r="BS16" s="96"/>
      <c r="BT16" s="96"/>
      <c r="BU16" s="96"/>
      <c r="BV16" s="96"/>
      <c r="BW16" s="96"/>
      <c r="BX16" s="96"/>
      <c r="BY16" s="96"/>
      <c r="BZ16" s="96"/>
      <c r="CA16" s="96"/>
      <c r="CB16" s="96"/>
      <c r="CC16" s="96"/>
      <c r="CD16" s="96"/>
      <c r="CE16" s="96"/>
      <c r="CF16" s="96"/>
      <c r="CG16" s="96"/>
      <c r="CH16" s="96"/>
      <c r="CI16" s="96"/>
      <c r="CJ16" s="96"/>
      <c r="CK16" s="96"/>
      <c r="CL16" s="96"/>
      <c r="CM16" s="96"/>
      <c r="CN16" s="96"/>
      <c r="CO16" s="96"/>
      <c r="CP16" s="96"/>
      <c r="CQ16" s="96"/>
      <c r="CR16" s="96"/>
      <c r="CS16" s="96"/>
      <c r="CT16" s="96"/>
      <c r="CU16" s="96"/>
      <c r="CV16" s="96"/>
      <c r="CW16" s="96"/>
      <c r="CX16" s="96"/>
      <c r="CY16" s="96"/>
      <c r="CZ16" s="96"/>
      <c r="DA16" s="96"/>
      <c r="DB16" s="96"/>
      <c r="DC16" s="96"/>
      <c r="DD16" s="96"/>
      <c r="DE16" s="96"/>
      <c r="DF16" s="96"/>
      <c r="DG16" s="96"/>
      <c r="DH16" s="96"/>
      <c r="DI16" s="96"/>
      <c r="DJ16" s="96"/>
      <c r="DK16" s="96"/>
      <c r="DL16" s="96"/>
      <c r="DM16" s="96"/>
      <c r="DN16" s="96"/>
      <c r="DO16" s="96"/>
      <c r="DP16" s="96"/>
      <c r="DQ16" s="96"/>
      <c r="DR16" s="96"/>
      <c r="DS16" s="96"/>
      <c r="DT16" s="96"/>
      <c r="DU16" s="96"/>
      <c r="DV16" s="96"/>
      <c r="DW16" s="96"/>
      <c r="DX16" s="96"/>
      <c r="DY16" s="96"/>
      <c r="DZ16" s="96"/>
      <c r="EA16" s="96"/>
      <c r="EB16" s="96"/>
      <c r="EC16" s="96"/>
      <c r="ED16" s="96"/>
      <c r="EE16" s="96"/>
      <c r="EF16" s="96"/>
      <c r="EG16" s="96"/>
      <c r="EH16" s="96"/>
      <c r="EI16" s="96"/>
      <c r="EJ16" s="96"/>
      <c r="EK16" s="96"/>
      <c r="EL16" s="96"/>
      <c r="EM16" s="96"/>
      <c r="EN16" s="96"/>
      <c r="EO16" s="96"/>
      <c r="EP16" s="96"/>
      <c r="EQ16" s="96"/>
      <c r="ER16" s="96"/>
      <c r="ES16" s="96"/>
      <c r="ET16" s="96"/>
      <c r="EU16" s="96"/>
      <c r="EV16" s="96"/>
      <c r="EW16" s="96"/>
      <c r="EX16" s="96"/>
      <c r="EY16" s="96"/>
      <c r="EZ16" s="96"/>
      <c r="FA16" s="96"/>
      <c r="FB16" s="96"/>
      <c r="FC16" s="96"/>
      <c r="FD16" s="96"/>
      <c r="FE16" s="96"/>
      <c r="FF16" s="96"/>
      <c r="FG16" s="96"/>
      <c r="FH16" s="96"/>
      <c r="FI16" s="96"/>
      <c r="FJ16" s="96"/>
      <c r="FK16" s="96"/>
      <c r="FL16" s="96"/>
      <c r="FM16" s="96"/>
      <c r="FN16" s="96"/>
      <c r="FO16" s="96"/>
      <c r="FP16" s="96"/>
      <c r="FQ16" s="96"/>
      <c r="FR16" s="96"/>
      <c r="FS16" s="96"/>
      <c r="FT16" s="96"/>
      <c r="FU16" s="96"/>
      <c r="FV16" s="96"/>
      <c r="FW16" s="96"/>
      <c r="FX16" s="96"/>
      <c r="FY16" s="96"/>
      <c r="FZ16" s="96"/>
      <c r="GA16" s="96"/>
      <c r="GB16" s="96"/>
      <c r="GC16" s="96"/>
      <c r="GD16" s="96"/>
      <c r="GE16" s="96"/>
      <c r="GF16" s="96"/>
      <c r="GG16" s="96"/>
      <c r="GH16" s="96"/>
      <c r="GI16" s="96"/>
      <c r="GJ16" s="96"/>
      <c r="GK16" s="96"/>
      <c r="GL16" s="96"/>
      <c r="GM16" s="96"/>
      <c r="GN16" s="96"/>
      <c r="GO16" s="96"/>
      <c r="GP16" s="96"/>
      <c r="GQ16" s="96"/>
      <c r="GR16" s="96"/>
      <c r="GS16" s="96"/>
      <c r="GT16" s="96"/>
      <c r="GU16" s="96"/>
      <c r="GV16" s="96"/>
      <c r="GW16" s="96"/>
      <c r="GX16" s="96"/>
      <c r="GY16" s="96"/>
      <c r="GZ16" s="96"/>
      <c r="HA16" s="96"/>
      <c r="HB16" s="96"/>
      <c r="HC16" s="96"/>
      <c r="HD16" s="96"/>
      <c r="HE16" s="96"/>
      <c r="HF16" s="96"/>
      <c r="HG16" s="96"/>
      <c r="HH16" s="96"/>
      <c r="HI16" s="96"/>
      <c r="HJ16" s="96"/>
      <c r="HK16" s="96"/>
      <c r="HL16" s="96"/>
      <c r="HM16" s="96"/>
      <c r="HN16" s="96"/>
      <c r="HO16" s="96"/>
      <c r="HP16" s="96"/>
      <c r="HQ16" s="96"/>
      <c r="HR16" s="96"/>
      <c r="HS16" s="96"/>
      <c r="HT16" s="96"/>
      <c r="HU16" s="96"/>
      <c r="HV16" s="96"/>
      <c r="HW16" s="96"/>
      <c r="HX16" s="96"/>
      <c r="HY16" s="96"/>
      <c r="HZ16" s="96"/>
      <c r="IA16" s="96"/>
      <c r="IB16" s="96"/>
      <c r="IC16" s="96"/>
      <c r="ID16" s="96"/>
      <c r="IE16" s="96"/>
      <c r="IF16" s="96"/>
      <c r="IG16" s="96"/>
      <c r="IH16" s="96"/>
      <c r="II16" s="96"/>
      <c r="IJ16" s="96"/>
      <c r="IK16" s="96"/>
      <c r="IL16" s="96"/>
      <c r="IM16" s="96"/>
      <c r="IN16" s="96"/>
      <c r="IO16" s="96"/>
      <c r="IP16" s="96"/>
      <c r="IQ16" s="96"/>
      <c r="IR16" s="96"/>
      <c r="IS16" s="96"/>
      <c r="IT16" s="96"/>
      <c r="IU16" s="96"/>
      <c r="IV16" s="96"/>
      <c r="IW16" s="96"/>
    </row>
    <row r="17" s="97" customFormat="true" ht="55.5" hidden="false" customHeight="false" outlineLevel="0" collapsed="false">
      <c r="A17" s="98" t="s">
        <v>306</v>
      </c>
      <c r="B17" s="98" t="s">
        <v>307</v>
      </c>
      <c r="C17" s="98" t="n">
        <v>65</v>
      </c>
      <c r="D17" s="98" t="n">
        <v>10</v>
      </c>
      <c r="E17" s="98" t="s">
        <v>18</v>
      </c>
      <c r="F17" s="98" t="n">
        <v>200</v>
      </c>
      <c r="G17" s="98" t="n">
        <v>18</v>
      </c>
      <c r="H17" s="98" t="n">
        <v>300</v>
      </c>
      <c r="I17" s="98" t="n">
        <v>1000</v>
      </c>
      <c r="J17" s="98" t="s">
        <v>308</v>
      </c>
      <c r="K17" s="98" t="s">
        <v>269</v>
      </c>
      <c r="L17" s="99" t="s">
        <v>309</v>
      </c>
      <c r="M17" s="98" t="n">
        <v>200</v>
      </c>
      <c r="N17" s="100" t="s">
        <v>296</v>
      </c>
      <c r="O17" s="100" t="n">
        <v>0.85</v>
      </c>
      <c r="P17" s="101" t="s">
        <v>288</v>
      </c>
      <c r="Q17" s="101" t="n">
        <v>2.3</v>
      </c>
      <c r="R17" s="96"/>
      <c r="S17" s="96"/>
      <c r="T17" s="96"/>
      <c r="U17" s="96"/>
      <c r="V17" s="96"/>
      <c r="W17" s="96"/>
      <c r="X17" s="96"/>
      <c r="Y17" s="96"/>
      <c r="Z17" s="96"/>
      <c r="AA17" s="96"/>
      <c r="AB17" s="96"/>
      <c r="AC17" s="96"/>
      <c r="AD17" s="96"/>
      <c r="AE17" s="96"/>
      <c r="AF17" s="96"/>
      <c r="AG17" s="96"/>
      <c r="AH17" s="96"/>
      <c r="AI17" s="96"/>
      <c r="AJ17" s="96"/>
      <c r="AK17" s="96"/>
      <c r="AL17" s="96"/>
      <c r="AM17" s="96"/>
      <c r="AN17" s="96"/>
      <c r="AO17" s="96"/>
      <c r="AP17" s="96"/>
      <c r="AQ17" s="96"/>
      <c r="AR17" s="96"/>
      <c r="AS17" s="96"/>
      <c r="AT17" s="96"/>
      <c r="AU17" s="96"/>
      <c r="AV17" s="96"/>
      <c r="AW17" s="96"/>
      <c r="AX17" s="96"/>
      <c r="AY17" s="96"/>
      <c r="AZ17" s="96"/>
      <c r="BA17" s="96"/>
      <c r="BB17" s="96"/>
      <c r="BC17" s="96"/>
      <c r="BD17" s="96"/>
      <c r="BE17" s="96"/>
      <c r="BF17" s="96"/>
      <c r="BG17" s="96"/>
      <c r="BH17" s="96"/>
      <c r="BI17" s="96"/>
      <c r="BJ17" s="96"/>
      <c r="BK17" s="96"/>
      <c r="BL17" s="96"/>
      <c r="BM17" s="96"/>
      <c r="BN17" s="96"/>
      <c r="BO17" s="96"/>
      <c r="BP17" s="96"/>
      <c r="BQ17" s="96"/>
      <c r="BR17" s="96"/>
      <c r="BS17" s="96"/>
      <c r="BT17" s="96"/>
      <c r="BU17" s="96"/>
      <c r="BV17" s="96"/>
      <c r="BW17" s="96"/>
      <c r="BX17" s="96"/>
      <c r="BY17" s="96"/>
      <c r="BZ17" s="96"/>
      <c r="CA17" s="96"/>
      <c r="CB17" s="96"/>
      <c r="CC17" s="96"/>
      <c r="CD17" s="96"/>
      <c r="CE17" s="96"/>
      <c r="CF17" s="96"/>
      <c r="CG17" s="96"/>
      <c r="CH17" s="96"/>
      <c r="CI17" s="96"/>
      <c r="CJ17" s="96"/>
      <c r="CK17" s="96"/>
      <c r="CL17" s="96"/>
      <c r="CM17" s="96"/>
      <c r="CN17" s="96"/>
      <c r="CO17" s="96"/>
      <c r="CP17" s="96"/>
      <c r="CQ17" s="96"/>
      <c r="CR17" s="96"/>
      <c r="CS17" s="96"/>
      <c r="CT17" s="96"/>
      <c r="CU17" s="96"/>
      <c r="CV17" s="96"/>
      <c r="CW17" s="96"/>
      <c r="CX17" s="96"/>
      <c r="CY17" s="96"/>
      <c r="CZ17" s="96"/>
      <c r="DA17" s="96"/>
      <c r="DB17" s="96"/>
      <c r="DC17" s="96"/>
      <c r="DD17" s="96"/>
      <c r="DE17" s="96"/>
      <c r="DF17" s="96"/>
      <c r="DG17" s="96"/>
      <c r="DH17" s="96"/>
      <c r="DI17" s="96"/>
      <c r="DJ17" s="96"/>
      <c r="DK17" s="96"/>
      <c r="DL17" s="96"/>
      <c r="DM17" s="96"/>
      <c r="DN17" s="96"/>
      <c r="DO17" s="96"/>
      <c r="DP17" s="96"/>
      <c r="DQ17" s="96"/>
      <c r="DR17" s="96"/>
      <c r="DS17" s="96"/>
      <c r="DT17" s="96"/>
      <c r="DU17" s="96"/>
      <c r="DV17" s="96"/>
      <c r="DW17" s="96"/>
      <c r="DX17" s="96"/>
      <c r="DY17" s="96"/>
      <c r="DZ17" s="96"/>
      <c r="EA17" s="96"/>
      <c r="EB17" s="96"/>
      <c r="EC17" s="96"/>
      <c r="ED17" s="96"/>
      <c r="EE17" s="96"/>
      <c r="EF17" s="96"/>
      <c r="EG17" s="96"/>
      <c r="EH17" s="96"/>
      <c r="EI17" s="96"/>
      <c r="EJ17" s="96"/>
      <c r="EK17" s="96"/>
      <c r="EL17" s="96"/>
      <c r="EM17" s="96"/>
      <c r="EN17" s="96"/>
      <c r="EO17" s="96"/>
      <c r="EP17" s="96"/>
      <c r="EQ17" s="96"/>
      <c r="ER17" s="96"/>
      <c r="ES17" s="96"/>
      <c r="ET17" s="96"/>
      <c r="EU17" s="96"/>
      <c r="EV17" s="96"/>
      <c r="EW17" s="96"/>
      <c r="EX17" s="96"/>
      <c r="EY17" s="96"/>
      <c r="EZ17" s="96"/>
      <c r="FA17" s="96"/>
      <c r="FB17" s="96"/>
      <c r="FC17" s="96"/>
      <c r="FD17" s="96"/>
      <c r="FE17" s="96"/>
      <c r="FF17" s="96"/>
      <c r="FG17" s="96"/>
      <c r="FH17" s="96"/>
      <c r="FI17" s="96"/>
      <c r="FJ17" s="96"/>
      <c r="FK17" s="96"/>
      <c r="FL17" s="96"/>
      <c r="FM17" s="96"/>
      <c r="FN17" s="96"/>
      <c r="FO17" s="96"/>
      <c r="FP17" s="96"/>
      <c r="FQ17" s="96"/>
      <c r="FR17" s="96"/>
      <c r="FS17" s="96"/>
      <c r="FT17" s="96"/>
      <c r="FU17" s="96"/>
      <c r="FV17" s="96"/>
      <c r="FW17" s="96"/>
      <c r="FX17" s="96"/>
      <c r="FY17" s="96"/>
      <c r="FZ17" s="96"/>
      <c r="GA17" s="96"/>
      <c r="GB17" s="96"/>
      <c r="GC17" s="96"/>
      <c r="GD17" s="96"/>
      <c r="GE17" s="96"/>
      <c r="GF17" s="96"/>
      <c r="GG17" s="96"/>
      <c r="GH17" s="96"/>
      <c r="GI17" s="96"/>
      <c r="GJ17" s="96"/>
      <c r="GK17" s="96"/>
      <c r="GL17" s="96"/>
      <c r="GM17" s="96"/>
      <c r="GN17" s="96"/>
      <c r="GO17" s="96"/>
      <c r="GP17" s="96"/>
      <c r="GQ17" s="96"/>
      <c r="GR17" s="96"/>
      <c r="GS17" s="96"/>
      <c r="GT17" s="96"/>
      <c r="GU17" s="96"/>
      <c r="GV17" s="96"/>
      <c r="GW17" s="96"/>
      <c r="GX17" s="96"/>
      <c r="GY17" s="96"/>
      <c r="GZ17" s="96"/>
      <c r="HA17" s="96"/>
      <c r="HB17" s="96"/>
      <c r="HC17" s="96"/>
      <c r="HD17" s="96"/>
      <c r="HE17" s="96"/>
      <c r="HF17" s="96"/>
      <c r="HG17" s="96"/>
      <c r="HH17" s="96"/>
      <c r="HI17" s="96"/>
      <c r="HJ17" s="96"/>
      <c r="HK17" s="96"/>
      <c r="HL17" s="96"/>
      <c r="HM17" s="96"/>
      <c r="HN17" s="96"/>
      <c r="HO17" s="96"/>
      <c r="HP17" s="96"/>
      <c r="HQ17" s="96"/>
      <c r="HR17" s="96"/>
      <c r="HS17" s="96"/>
      <c r="HT17" s="96"/>
      <c r="HU17" s="96"/>
      <c r="HV17" s="96"/>
      <c r="HW17" s="96"/>
      <c r="HX17" s="96"/>
      <c r="HY17" s="96"/>
      <c r="HZ17" s="96"/>
      <c r="IA17" s="96"/>
      <c r="IB17" s="96"/>
      <c r="IC17" s="96"/>
      <c r="ID17" s="96"/>
      <c r="IE17" s="96"/>
      <c r="IF17" s="96"/>
      <c r="IG17" s="96"/>
      <c r="IH17" s="96"/>
      <c r="II17" s="96"/>
      <c r="IJ17" s="96"/>
      <c r="IK17" s="96"/>
      <c r="IL17" s="96"/>
      <c r="IM17" s="96"/>
      <c r="IN17" s="96"/>
      <c r="IO17" s="96"/>
      <c r="IP17" s="96"/>
      <c r="IQ17" s="96"/>
      <c r="IR17" s="96"/>
      <c r="IS17" s="96"/>
      <c r="IT17" s="96"/>
      <c r="IU17" s="96"/>
      <c r="IV17" s="96"/>
      <c r="IW17" s="96"/>
    </row>
    <row r="18" s="97" customFormat="true" ht="23.1" hidden="false" customHeight="false" outlineLevel="0" collapsed="false">
      <c r="A18" s="98" t="s">
        <v>310</v>
      </c>
      <c r="B18" s="98" t="s">
        <v>311</v>
      </c>
      <c r="C18" s="98" t="n">
        <v>200</v>
      </c>
      <c r="D18" s="98" t="n">
        <v>30</v>
      </c>
      <c r="E18" s="98" t="n">
        <v>0.085</v>
      </c>
      <c r="F18" s="98" t="n">
        <v>1700</v>
      </c>
      <c r="G18" s="98" t="n">
        <v>700</v>
      </c>
      <c r="H18" s="98" t="n">
        <v>190</v>
      </c>
      <c r="I18" s="98" t="n">
        <v>35</v>
      </c>
      <c r="J18" s="98" t="s">
        <v>312</v>
      </c>
      <c r="K18" s="98" t="s">
        <v>273</v>
      </c>
      <c r="L18" s="99" t="s">
        <v>313</v>
      </c>
      <c r="M18" s="98" t="n">
        <v>150</v>
      </c>
      <c r="N18" s="100" t="s">
        <v>262</v>
      </c>
      <c r="O18" s="100" t="n">
        <v>0.35</v>
      </c>
      <c r="P18" s="101" t="s">
        <v>263</v>
      </c>
      <c r="Q18" s="101" t="n">
        <v>2.3</v>
      </c>
      <c r="R18" s="96"/>
      <c r="S18" s="96"/>
      <c r="T18" s="96"/>
      <c r="U18" s="96"/>
      <c r="V18" s="96"/>
      <c r="W18" s="96"/>
      <c r="X18" s="96"/>
      <c r="Y18" s="96"/>
      <c r="Z18" s="96"/>
      <c r="AA18" s="96"/>
      <c r="AB18" s="96"/>
      <c r="AC18" s="96"/>
      <c r="AD18" s="96"/>
      <c r="AE18" s="96"/>
      <c r="AF18" s="96"/>
      <c r="AG18" s="96"/>
      <c r="AH18" s="96"/>
      <c r="AI18" s="96"/>
      <c r="AJ18" s="96"/>
      <c r="AK18" s="96"/>
      <c r="AL18" s="96"/>
      <c r="AM18" s="96"/>
      <c r="AN18" s="96"/>
      <c r="AO18" s="96"/>
      <c r="AP18" s="96"/>
      <c r="AQ18" s="96"/>
      <c r="AR18" s="96"/>
      <c r="AS18" s="96"/>
      <c r="AT18" s="96"/>
      <c r="AU18" s="96"/>
      <c r="AV18" s="96"/>
      <c r="AW18" s="96"/>
      <c r="AX18" s="96"/>
      <c r="AY18" s="96"/>
      <c r="AZ18" s="96"/>
      <c r="BA18" s="96"/>
      <c r="BB18" s="96"/>
      <c r="BC18" s="96"/>
      <c r="BD18" s="96"/>
      <c r="BE18" s="96"/>
      <c r="BF18" s="96"/>
      <c r="BG18" s="96"/>
      <c r="BH18" s="96"/>
      <c r="BI18" s="96"/>
      <c r="BJ18" s="96"/>
      <c r="BK18" s="96"/>
      <c r="BL18" s="96"/>
      <c r="BM18" s="96"/>
      <c r="BN18" s="96"/>
      <c r="BO18" s="96"/>
      <c r="BP18" s="96"/>
      <c r="BQ18" s="96"/>
      <c r="BR18" s="96"/>
      <c r="BS18" s="96"/>
      <c r="BT18" s="96"/>
      <c r="BU18" s="96"/>
      <c r="BV18" s="96"/>
      <c r="BW18" s="96"/>
      <c r="BX18" s="96"/>
      <c r="BY18" s="96"/>
      <c r="BZ18" s="96"/>
      <c r="CA18" s="96"/>
      <c r="CB18" s="96"/>
      <c r="CC18" s="96"/>
      <c r="CD18" s="96"/>
      <c r="CE18" s="96"/>
      <c r="CF18" s="96"/>
      <c r="CG18" s="96"/>
      <c r="CH18" s="96"/>
      <c r="CI18" s="96"/>
      <c r="CJ18" s="96"/>
      <c r="CK18" s="96"/>
      <c r="CL18" s="96"/>
      <c r="CM18" s="96"/>
      <c r="CN18" s="96"/>
      <c r="CO18" s="96"/>
      <c r="CP18" s="96"/>
      <c r="CQ18" s="96"/>
      <c r="CR18" s="96"/>
      <c r="CS18" s="96"/>
      <c r="CT18" s="96"/>
      <c r="CU18" s="96"/>
      <c r="CV18" s="96"/>
      <c r="CW18" s="96"/>
      <c r="CX18" s="96"/>
      <c r="CY18" s="96"/>
      <c r="CZ18" s="96"/>
      <c r="DA18" s="96"/>
      <c r="DB18" s="96"/>
      <c r="DC18" s="96"/>
      <c r="DD18" s="96"/>
      <c r="DE18" s="96"/>
      <c r="DF18" s="96"/>
      <c r="DG18" s="96"/>
      <c r="DH18" s="96"/>
      <c r="DI18" s="96"/>
      <c r="DJ18" s="96"/>
      <c r="DK18" s="96"/>
      <c r="DL18" s="96"/>
      <c r="DM18" s="96"/>
      <c r="DN18" s="96"/>
      <c r="DO18" s="96"/>
      <c r="DP18" s="96"/>
      <c r="DQ18" s="96"/>
      <c r="DR18" s="96"/>
      <c r="DS18" s="96"/>
      <c r="DT18" s="96"/>
      <c r="DU18" s="96"/>
      <c r="DV18" s="96"/>
      <c r="DW18" s="96"/>
      <c r="DX18" s="96"/>
      <c r="DY18" s="96"/>
      <c r="DZ18" s="96"/>
      <c r="EA18" s="96"/>
      <c r="EB18" s="96"/>
      <c r="EC18" s="96"/>
      <c r="ED18" s="96"/>
      <c r="EE18" s="96"/>
      <c r="EF18" s="96"/>
      <c r="EG18" s="96"/>
      <c r="EH18" s="96"/>
      <c r="EI18" s="96"/>
      <c r="EJ18" s="96"/>
      <c r="EK18" s="96"/>
      <c r="EL18" s="96"/>
      <c r="EM18" s="96"/>
      <c r="EN18" s="96"/>
      <c r="EO18" s="96"/>
      <c r="EP18" s="96"/>
      <c r="EQ18" s="96"/>
      <c r="ER18" s="96"/>
      <c r="ES18" s="96"/>
      <c r="ET18" s="96"/>
      <c r="EU18" s="96"/>
      <c r="EV18" s="96"/>
      <c r="EW18" s="96"/>
      <c r="EX18" s="96"/>
      <c r="EY18" s="96"/>
      <c r="EZ18" s="96"/>
      <c r="FA18" s="96"/>
      <c r="FB18" s="96"/>
      <c r="FC18" s="96"/>
      <c r="FD18" s="96"/>
      <c r="FE18" s="96"/>
      <c r="FF18" s="96"/>
      <c r="FG18" s="96"/>
      <c r="FH18" s="96"/>
      <c r="FI18" s="96"/>
      <c r="FJ18" s="96"/>
      <c r="FK18" s="96"/>
      <c r="FL18" s="96"/>
      <c r="FM18" s="96"/>
      <c r="FN18" s="96"/>
      <c r="FO18" s="96"/>
      <c r="FP18" s="96"/>
      <c r="FQ18" s="96"/>
      <c r="FR18" s="96"/>
      <c r="FS18" s="96"/>
      <c r="FT18" s="96"/>
      <c r="FU18" s="96"/>
      <c r="FV18" s="96"/>
      <c r="FW18" s="96"/>
      <c r="FX18" s="96"/>
      <c r="FY18" s="96"/>
      <c r="FZ18" s="96"/>
      <c r="GA18" s="96"/>
      <c r="GB18" s="96"/>
      <c r="GC18" s="96"/>
      <c r="GD18" s="96"/>
      <c r="GE18" s="96"/>
      <c r="GF18" s="96"/>
      <c r="GG18" s="96"/>
      <c r="GH18" s="96"/>
      <c r="GI18" s="96"/>
      <c r="GJ18" s="96"/>
      <c r="GK18" s="96"/>
      <c r="GL18" s="96"/>
      <c r="GM18" s="96"/>
      <c r="GN18" s="96"/>
      <c r="GO18" s="96"/>
      <c r="GP18" s="96"/>
      <c r="GQ18" s="96"/>
      <c r="GR18" s="96"/>
      <c r="GS18" s="96"/>
      <c r="GT18" s="96"/>
      <c r="GU18" s="96"/>
      <c r="GV18" s="96"/>
      <c r="GW18" s="96"/>
      <c r="GX18" s="96"/>
      <c r="GY18" s="96"/>
      <c r="GZ18" s="96"/>
      <c r="HA18" s="96"/>
      <c r="HB18" s="96"/>
      <c r="HC18" s="96"/>
      <c r="HD18" s="96"/>
      <c r="HE18" s="96"/>
      <c r="HF18" s="96"/>
      <c r="HG18" s="96"/>
      <c r="HH18" s="96"/>
      <c r="HI18" s="96"/>
      <c r="HJ18" s="96"/>
      <c r="HK18" s="96"/>
      <c r="HL18" s="96"/>
      <c r="HM18" s="96"/>
      <c r="HN18" s="96"/>
      <c r="HO18" s="96"/>
      <c r="HP18" s="96"/>
      <c r="HQ18" s="96"/>
      <c r="HR18" s="96"/>
      <c r="HS18" s="96"/>
      <c r="HT18" s="96"/>
      <c r="HU18" s="96"/>
      <c r="HV18" s="96"/>
      <c r="HW18" s="96"/>
      <c r="HX18" s="96"/>
      <c r="HY18" s="96"/>
      <c r="HZ18" s="96"/>
      <c r="IA18" s="96"/>
      <c r="IB18" s="96"/>
      <c r="IC18" s="96"/>
      <c r="ID18" s="96"/>
      <c r="IE18" s="96"/>
      <c r="IF18" s="96"/>
      <c r="IG18" s="96"/>
      <c r="IH18" s="96"/>
      <c r="II18" s="96"/>
      <c r="IJ18" s="96"/>
      <c r="IK18" s="96"/>
      <c r="IL18" s="96"/>
      <c r="IM18" s="96"/>
      <c r="IN18" s="96"/>
      <c r="IO18" s="96"/>
      <c r="IP18" s="96"/>
      <c r="IQ18" s="96"/>
      <c r="IR18" s="96"/>
      <c r="IS18" s="96"/>
      <c r="IT18" s="96"/>
      <c r="IU18" s="96"/>
      <c r="IV18" s="96"/>
      <c r="IW18" s="96"/>
    </row>
    <row r="19" s="97" customFormat="true" ht="44.75" hidden="false" customHeight="false" outlineLevel="0" collapsed="false">
      <c r="A19" s="98" t="s">
        <v>314</v>
      </c>
      <c r="B19" s="98" t="s">
        <v>315</v>
      </c>
      <c r="C19" s="98" t="n">
        <v>60</v>
      </c>
      <c r="D19" s="98" t="n">
        <v>2</v>
      </c>
      <c r="E19" s="98" t="n">
        <v>2.5</v>
      </c>
      <c r="F19" s="98" t="n">
        <v>50</v>
      </c>
      <c r="G19" s="98" t="n">
        <v>20</v>
      </c>
      <c r="H19" s="98" t="n">
        <v>12</v>
      </c>
      <c r="I19" s="98" t="n">
        <v>250</v>
      </c>
      <c r="J19" s="98" t="s">
        <v>316</v>
      </c>
      <c r="K19" s="98" t="s">
        <v>269</v>
      </c>
      <c r="L19" s="99" t="s">
        <v>317</v>
      </c>
      <c r="M19" s="98" t="n">
        <v>150</v>
      </c>
      <c r="N19" s="100" t="s">
        <v>250</v>
      </c>
      <c r="O19" s="100" t="n">
        <v>0.4</v>
      </c>
      <c r="P19" s="101" t="s">
        <v>251</v>
      </c>
      <c r="Q19" s="101" t="n">
        <v>2.5</v>
      </c>
      <c r="R19" s="96"/>
      <c r="S19" s="96"/>
      <c r="T19" s="96"/>
      <c r="U19" s="96"/>
      <c r="V19" s="96"/>
      <c r="W19" s="96"/>
      <c r="X19" s="96"/>
      <c r="Y19" s="96"/>
      <c r="Z19" s="96"/>
      <c r="AA19" s="96"/>
      <c r="AB19" s="96"/>
      <c r="AC19" s="96"/>
      <c r="AD19" s="96"/>
      <c r="AE19" s="96"/>
      <c r="AF19" s="96"/>
      <c r="AG19" s="96"/>
      <c r="AH19" s="96"/>
      <c r="AI19" s="96"/>
      <c r="AJ19" s="96"/>
      <c r="AK19" s="96"/>
      <c r="AL19" s="96"/>
      <c r="AM19" s="96"/>
      <c r="AN19" s="96"/>
      <c r="AO19" s="96"/>
      <c r="AP19" s="96"/>
      <c r="AQ19" s="96"/>
      <c r="AR19" s="96"/>
      <c r="AS19" s="96"/>
      <c r="AT19" s="96"/>
      <c r="AU19" s="96"/>
      <c r="AV19" s="96"/>
      <c r="AW19" s="96"/>
      <c r="AX19" s="96"/>
      <c r="AY19" s="96"/>
      <c r="AZ19" s="96"/>
      <c r="BA19" s="96"/>
      <c r="BB19" s="96"/>
      <c r="BC19" s="96"/>
      <c r="BD19" s="96"/>
      <c r="BE19" s="96"/>
      <c r="BF19" s="96"/>
      <c r="BG19" s="96"/>
      <c r="BH19" s="96"/>
      <c r="BI19" s="96"/>
      <c r="BJ19" s="96"/>
      <c r="BK19" s="96"/>
      <c r="BL19" s="96"/>
      <c r="BM19" s="96"/>
      <c r="BN19" s="96"/>
      <c r="BO19" s="96"/>
      <c r="BP19" s="96"/>
      <c r="BQ19" s="96"/>
      <c r="BR19" s="96"/>
      <c r="BS19" s="96"/>
      <c r="BT19" s="96"/>
      <c r="BU19" s="96"/>
      <c r="BV19" s="96"/>
      <c r="BW19" s="96"/>
      <c r="BX19" s="96"/>
      <c r="BY19" s="96"/>
      <c r="BZ19" s="96"/>
      <c r="CA19" s="96"/>
      <c r="CB19" s="96"/>
      <c r="CC19" s="96"/>
      <c r="CD19" s="96"/>
      <c r="CE19" s="96"/>
      <c r="CF19" s="96"/>
      <c r="CG19" s="96"/>
      <c r="CH19" s="96"/>
      <c r="CI19" s="96"/>
      <c r="CJ19" s="96"/>
      <c r="CK19" s="96"/>
      <c r="CL19" s="96"/>
      <c r="CM19" s="96"/>
      <c r="CN19" s="96"/>
      <c r="CO19" s="96"/>
      <c r="CP19" s="96"/>
      <c r="CQ19" s="96"/>
      <c r="CR19" s="96"/>
      <c r="CS19" s="96"/>
      <c r="CT19" s="96"/>
      <c r="CU19" s="96"/>
      <c r="CV19" s="96"/>
      <c r="CW19" s="96"/>
      <c r="CX19" s="96"/>
      <c r="CY19" s="96"/>
      <c r="CZ19" s="96"/>
      <c r="DA19" s="96"/>
      <c r="DB19" s="96"/>
      <c r="DC19" s="96"/>
      <c r="DD19" s="96"/>
      <c r="DE19" s="96"/>
      <c r="DF19" s="96"/>
      <c r="DG19" s="96"/>
      <c r="DH19" s="96"/>
      <c r="DI19" s="96"/>
      <c r="DJ19" s="96"/>
      <c r="DK19" s="96"/>
      <c r="DL19" s="96"/>
      <c r="DM19" s="96"/>
      <c r="DN19" s="96"/>
      <c r="DO19" s="96"/>
      <c r="DP19" s="96"/>
      <c r="DQ19" s="96"/>
      <c r="DR19" s="96"/>
      <c r="DS19" s="96"/>
      <c r="DT19" s="96"/>
      <c r="DU19" s="96"/>
      <c r="DV19" s="96"/>
      <c r="DW19" s="96"/>
      <c r="DX19" s="96"/>
      <c r="DY19" s="96"/>
      <c r="DZ19" s="96"/>
      <c r="EA19" s="96"/>
      <c r="EB19" s="96"/>
      <c r="EC19" s="96"/>
      <c r="ED19" s="96"/>
      <c r="EE19" s="96"/>
      <c r="EF19" s="96"/>
      <c r="EG19" s="96"/>
      <c r="EH19" s="96"/>
      <c r="EI19" s="96"/>
      <c r="EJ19" s="96"/>
      <c r="EK19" s="96"/>
      <c r="EL19" s="96"/>
      <c r="EM19" s="96"/>
      <c r="EN19" s="96"/>
      <c r="EO19" s="96"/>
      <c r="EP19" s="96"/>
      <c r="EQ19" s="96"/>
      <c r="ER19" s="96"/>
      <c r="ES19" s="96"/>
      <c r="ET19" s="96"/>
      <c r="EU19" s="96"/>
      <c r="EV19" s="96"/>
      <c r="EW19" s="96"/>
      <c r="EX19" s="96"/>
      <c r="EY19" s="96"/>
      <c r="EZ19" s="96"/>
      <c r="FA19" s="96"/>
      <c r="FB19" s="96"/>
      <c r="FC19" s="96"/>
      <c r="FD19" s="96"/>
      <c r="FE19" s="96"/>
      <c r="FF19" s="96"/>
      <c r="FG19" s="96"/>
      <c r="FH19" s="96"/>
      <c r="FI19" s="96"/>
      <c r="FJ19" s="96"/>
      <c r="FK19" s="96"/>
      <c r="FL19" s="96"/>
      <c r="FM19" s="96"/>
      <c r="FN19" s="96"/>
      <c r="FO19" s="96"/>
      <c r="FP19" s="96"/>
      <c r="FQ19" s="96"/>
      <c r="FR19" s="96"/>
      <c r="FS19" s="96"/>
      <c r="FT19" s="96"/>
      <c r="FU19" s="96"/>
      <c r="FV19" s="96"/>
      <c r="FW19" s="96"/>
      <c r="FX19" s="96"/>
      <c r="FY19" s="96"/>
      <c r="FZ19" s="96"/>
      <c r="GA19" s="96"/>
      <c r="GB19" s="96"/>
      <c r="GC19" s="96"/>
      <c r="GD19" s="96"/>
      <c r="GE19" s="96"/>
      <c r="GF19" s="96"/>
      <c r="GG19" s="96"/>
      <c r="GH19" s="96"/>
      <c r="GI19" s="96"/>
      <c r="GJ19" s="96"/>
      <c r="GK19" s="96"/>
      <c r="GL19" s="96"/>
      <c r="GM19" s="96"/>
      <c r="GN19" s="96"/>
      <c r="GO19" s="96"/>
      <c r="GP19" s="96"/>
      <c r="GQ19" s="96"/>
      <c r="GR19" s="96"/>
      <c r="GS19" s="96"/>
      <c r="GT19" s="96"/>
      <c r="GU19" s="96"/>
      <c r="GV19" s="96"/>
      <c r="GW19" s="96"/>
      <c r="GX19" s="96"/>
      <c r="GY19" s="96"/>
      <c r="GZ19" s="96"/>
      <c r="HA19" s="96"/>
      <c r="HB19" s="96"/>
      <c r="HC19" s="96"/>
      <c r="HD19" s="96"/>
      <c r="HE19" s="96"/>
      <c r="HF19" s="96"/>
      <c r="HG19" s="96"/>
      <c r="HH19" s="96"/>
      <c r="HI19" s="96"/>
      <c r="HJ19" s="96"/>
      <c r="HK19" s="96"/>
      <c r="HL19" s="96"/>
      <c r="HM19" s="96"/>
      <c r="HN19" s="96"/>
      <c r="HO19" s="96"/>
      <c r="HP19" s="96"/>
      <c r="HQ19" s="96"/>
      <c r="HR19" s="96"/>
      <c r="HS19" s="96"/>
      <c r="HT19" s="96"/>
      <c r="HU19" s="96"/>
      <c r="HV19" s="96"/>
      <c r="HW19" s="96"/>
      <c r="HX19" s="96"/>
      <c r="HY19" s="96"/>
      <c r="HZ19" s="96"/>
      <c r="IA19" s="96"/>
      <c r="IB19" s="96"/>
      <c r="IC19" s="96"/>
      <c r="ID19" s="96"/>
      <c r="IE19" s="96"/>
      <c r="IF19" s="96"/>
      <c r="IG19" s="96"/>
      <c r="IH19" s="96"/>
      <c r="II19" s="96"/>
      <c r="IJ19" s="96"/>
      <c r="IK19" s="96"/>
      <c r="IL19" s="96"/>
      <c r="IM19" s="96"/>
      <c r="IN19" s="96"/>
      <c r="IO19" s="96"/>
      <c r="IP19" s="96"/>
      <c r="IQ19" s="96"/>
      <c r="IR19" s="96"/>
      <c r="IS19" s="96"/>
      <c r="IT19" s="96"/>
      <c r="IU19" s="96"/>
      <c r="IV19" s="96"/>
      <c r="IW19" s="96"/>
    </row>
    <row r="20" customFormat="false" ht="15" hidden="false" customHeight="false" outlineLevel="0" collapsed="false">
      <c r="B20" s="96"/>
      <c r="C20" s="96"/>
      <c r="D20" s="96"/>
      <c r="E20" s="96"/>
      <c r="F20" s="96"/>
      <c r="G20" s="96"/>
      <c r="H20" s="96"/>
      <c r="I20" s="96"/>
      <c r="J20" s="96"/>
      <c r="K20" s="9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16</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2026-04-05T22:43:46Z</dcterms:created>
  <dc:creator>openpyxl</dc:creator>
  <dc:description/>
  <dc:language>es-AR</dc:language>
  <cp:lastModifiedBy/>
  <dcterms:modified xsi:type="dcterms:W3CDTF">2026-04-13T11:29:08Z</dcterms:modified>
  <cp:revision>252</cp:revision>
  <dc:subject/>
  <dc:title/>
</cp:coreProperties>
</file>

<file path=docProps/custom.xml><?xml version="1.0" encoding="utf-8"?>
<Properties xmlns="http://schemas.openxmlformats.org/officeDocument/2006/custom-properties" xmlns:vt="http://schemas.openxmlformats.org/officeDocument/2006/docPropsVTypes"/>
</file>