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comments7.xml" ContentType="application/vnd.openxmlformats-officedocument.spreadsheetml.comments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Class-E Calculator" sheetId="1" state="visible" r:id="rId3"/>
    <sheet name="Parallel MOSFETs" sheetId="2" state="visible" r:id="rId4"/>
    <sheet name="LPF Direct 5-poles" sheetId="3" state="visible" r:id="rId5"/>
    <sheet name="LPF Direct 7-pole" sheetId="4" state="visible" r:id="rId6"/>
    <sheet name="Schematic 5-pole LPF" sheetId="5" state="visible" r:id="rId7"/>
    <sheet name="Schematic 7-pole LPF" sheetId="6" state="visible" r:id="rId8"/>
    <sheet name="MOSFET Reference Table" sheetId="7" state="visible" r:id="rId9"/>
  </sheets>
  <definedNames>
    <definedName function="false" hidden="false" name="_xlfn_IFERROR" vbProcedure="false">#NAME?</definedName>
  </definedNames>
  <calcPr iterateCount="100" refMode="A1" iterate="true" iterateDelta="0.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2" authorId="0">
      <text>
        <r>
          <rPr>
            <sz val="10"/>
            <rFont val="Arial"/>
            <family val="2"/>
          </rPr>
          <t xml:space="preserve">FIXED: Added distinction between I_D(continuous) and I_pk(peak). I_D(cont) from MOSFET table is compared against I_pk=2.862*Idc. For devices where I_D(cont) &lt; I_pk but &gt; I_pk/2, added advisory to check I_D(pulsed) from datasheet (typically 2-4x I_D(cont)).</t>
        </r>
      </text>
    </comment>
    <comment ref="C88" authorId="0">
      <text>
        <r>
          <rPr>
            <sz val="10"/>
            <rFont val="Arial"/>
            <family val="2"/>
          </rPr>
          <t xml:space="preserve">⚠ COMPATIBILITY: This cell uses the LET() function, which requires Excel 2019, Microsoft 365, or LibreOffice 7.4+. In older Excel versions this cell will show #NAME?. To fix: decompose LET() into separate helper cells for each intermediate variable.</t>
        </r>
      </text>
    </comment>
    <comment ref="G88" authorId="0">
      <text>
        <r>
          <rPr>
            <sz val="10"/>
            <rFont val="Arial"/>
            <family val="2"/>
          </rPr>
          <t xml:space="preserve">INFORMATIONAL ONLY — NOT USED IN η CALCULATION.
C88 (the authoritative η) is driven by J95, not this cell.
This cell is a diagnostic duplicate for debugging. Do not reference G88 in formulas.
Kept for engineering cross-check purposes only.</t>
        </r>
      </text>
    </comment>
    <comment ref="J95" authorId="0">
      <text>
        <r>
          <rPr>
            <sz val="10"/>
            <rFont val="Arial"/>
            <family val="2"/>
          </rPr>
          <t xml:space="preserve">FIXED: Now uses (V_pk²−Vo²) = Coss capacitor energy integral from Vo to V_pk.
Old formula: 0.5·Coss·V_pk²·f·k — incorrect for BJT (Vo&gt;0).
New formula: 0.5·Coss·(V_pk²−Vo²)·f·k — exact energy ∫[Vo→V_pk] C·V dV.
For MOSFET (Vo=0): V_pk²−Vo²=V_pk² → identical result, no change.
For BJT (Vo=0.5V, Vcc=5V): ~0.09% correction (negligible but now exact).</t>
        </r>
      </text>
    </comment>
    <comment ref="J97" authorId="0">
      <text>
        <r>
          <rPr>
            <sz val="10"/>
            <rFont val="Arial"/>
            <family val="2"/>
          </rPr>
          <t xml:space="preserve">FIXED: Now uses C88 (converged total η) as P_in basis, not J92 (resistive-only η).
This corrects J98 (switching loss power) and J99 (MOSFET thermal) to use true P_in.
Bug: J97=P_out/J92 underestimated P_in by η_resistive/η_total-1 ≈ 2–5%.
No circular dependency: J98/J99 do not feed back into C88.</t>
        </r>
      </text>
    </comment>
  </commentList>
</comments>
</file>

<file path=xl/comments7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Q4" authorId="0">
      <text>
        <r>
          <rPr>
            <sz val="10"/>
            <rFont val="Arial"/>
            <family val="2"/>
          </rPr>
          <t xml:space="preserve">FIXED: Updated from 2.0 to 2.5. NXP BS170 datasheet (Rev.9 2016): Rds(on) vs Tj follows approximately T^2.5 power law. Using 2.0 underestimated Rds at elevated temperature by ~10%.</t>
        </r>
      </text>
    </comment>
    <comment ref="Q5" authorId="0">
      <text>
        <r>
          <rPr>
            <sz val="10"/>
            <rFont val="Arial"/>
            <family val="2"/>
          </rPr>
          <t xml:space="preserve">FIXED: Updated from 2.0 to 2.5. ON Semiconductor 2N7000 datasheet: Rds(on) temperature coefficient consistent with T^2.5 exponent for Si-planar.</t>
        </r>
      </text>
    </comment>
  </commentList>
</comments>
</file>

<file path=xl/sharedStrings.xml><?xml version="1.0" encoding="utf-8"?>
<sst xmlns="http://schemas.openxmlformats.org/spreadsheetml/2006/main" count="1048" uniqueCount="660">
  <si>
    <t xml:space="preserve">CLASS-E RF POWER AMPLIFIER  ·  DESIGN CALCULATOR</t>
  </si>
  <si>
    <t xml:space="preserve">Based on Sokal/Raab equations (WA1HQC · QEX Jan/Feb 2001) | Optimum (ZVS + ZCS) Class-E switching</t>
  </si>
  <si>
    <t xml:space="preserve">By  Emiliano Gonzalez LU3VEA – lu3vea@gmail.com – License: GPL v3</t>
  </si>
  <si>
    <t xml:space="preserve">⚙ ITERATIVE CALCULATION REQUIRED — File → Options → Formulas → Enable Iterative Calculation (100 iterations, max change 0.0001). LibreOffice: Tools → Options → LibreOffice Calc → Calculate → Iterations. Press F9 until η (C88) stabilises. Circular chain: η(C88) → I_dc(C43) → RFC loss term [−ESR_RFC·I_dc/(Vcc−ΔV)] &amp; Coss-fraction term [−J95/((Vcc−ΔV)·I_dc)] in J96 → η(C88). NOTE: J95 = Coss power [W] (NOT RFC loss) — the RFC loss and Coss loss fraction are both in J96.. [R(C42), C1(C48), C2(C52), L2(C50), and RFC(C54) are NOT part of the circular chain — they depend only on fixed inputs and are valid from the first calculation.]</t>
  </si>
  <si>
    <t xml:space="preserve">MOSFET MODEL</t>
  </si>
  <si>
    <t xml:space="preserve">BS170</t>
  </si>
  <si>
    <t xml:space="preserve">Min. MOSFET V_DSS Required (V)</t>
  </si>
  <si>
    <t xml:space="preserve">INPUT PARAMETERS</t>
  </si>
  <si>
    <t xml:space="preserve">Parameter</t>
  </si>
  <si>
    <t xml:space="preserve">Value</t>
  </si>
  <si>
    <t xml:space="preserve">Unit</t>
  </si>
  <si>
    <t xml:space="preserve">Supply Voltage (Vcc)</t>
  </si>
  <si>
    <t xml:space="preserve">V</t>
  </si>
  <si>
    <t xml:space="preserve">Output Power (P_out)</t>
  </si>
  <si>
    <t xml:space="preserve">W</t>
  </si>
  <si>
    <t xml:space="preserve">Operating Frequency (f)</t>
  </si>
  <si>
    <t xml:space="preserve">MHz</t>
  </si>
  <si>
    <t xml:space="preserve">Loaded Q Factor (Q_L)</t>
  </si>
  <si>
    <t xml:space="preserve">—</t>
  </si>
  <si>
    <t xml:space="preserve">Transistor V_sat (Vo)  [0 for MOSFET, 0.1–1 V for BJT]</t>
  </si>
  <si>
    <t xml:space="preserve">Drain Efficiency (η)</t>
  </si>
  <si>
    <t xml:space="preserve">ESR_L2  (L2 winding series resistance)</t>
  </si>
  <si>
    <t xml:space="preserve">Ω</t>
  </si>
  <si>
    <t xml:space="preserve">ℹ ESR_L2: series resonant inductor (L2) winding resistance. Typical: 0.03–0.08 Ω small air-core solenoid; 0.05–0.15 Ω wound toroid at HF. Enters Sokal Eq. 1 with full weight (coefficient 1.0) — errors here corrupt η, R, C1, C2, and I_dc directly. Measure with LCR meter or VNA at operating frequency. Do NOT enter RFC ESR here — that belongs in C23.</t>
  </si>
  <si>
    <t xml:space="preserve">RFC Winding ESR  (ESR_RFC)</t>
  </si>
  <si>
    <t xml:space="preserve">ℹ RFC choke winding ESR. Typical: 0.05–0.1 Ω air-core toroid; 0.1–0.5 Ω wound ferrite at HF; up to 1 Ω for small ferrite pot cores. Used in η model. Loss ≈ ESR_RFC × I_dc². Measure with LCR meter or VNA at operating frequency.</t>
  </si>
  <si>
    <t xml:space="preserve">Source Impedance (Z_in)</t>
  </si>
  <si>
    <t xml:space="preserve">Load Impedance  Z_out (antenna/load)</t>
  </si>
  <si>
    <t xml:space="preserve">Duty Cycle (D)  </t>
  </si>
  <si>
    <t xml:space="preserve">MOSFET Ciss (from datasheet)</t>
  </si>
  <si>
    <t xml:space="preserve">pF</t>
  </si>
  <si>
    <t xml:space="preserve">Gate Damping Resistor (R_gate)</t>
  </si>
  <si>
    <t xml:space="preserve">Ambient Temperature (T_amb)</t>
  </si>
  <si>
    <t xml:space="preserve">°C</t>
  </si>
  <si>
    <t xml:space="preserve">ESR_C2  (C2 capacitor series resistance)</t>
  </si>
  <si>
    <t xml:space="preserve">ESR_C1  (C1 shunt capacitor series resistance)</t>
  </si>
  <si>
    <t xml:space="preserve">C_oss</t>
  </si>
  <si>
    <t xml:space="preserve">C1_ext  (= C1_total − Coss_effective;   Coss_effective = C32 × C36,  where C32 = Coss datasheet [pF],  C36 = bias-point scale factor)  ⚠ C32 is approximate. For best accuracy, use a VNA to measure Coss at Vds ≈ 0.5×Vcc, or use manufacturer's energy-equivalent Coss (Coss,er) if provided.</t>
  </si>
  <si>
    <t xml:space="preserve">MOSFET fall time t_f [ns] — overrides fT model when &gt; 0</t>
  </si>
  <si>
    <t xml:space="preserve">ns</t>
  </si>
  <si>
    <t xml:space="preserve">ΔV supply droop (V)</t>
  </si>
  <si>
    <t xml:space="preserve">Coss scale factor  (auto-selected by device type; override if needed)</t>
  </si>
  <si>
    <t xml:space="preserve">⚠ Coss is bias-dependent. Recommended scale factors by device type: Si planar (BS170, 2N7000): 0.40 | Si vertical DMOS (IRF510, IRF540, IRFZ44N): 0.35 | LDMOS (RD16HVF1, MRF101AN, BLF574): 0.85 (use Coss,er from datasheet if available). For best accuracy, measure Coss at Vds ≈ 0.5×Vcc with a VNA. ⚠ Vcc-dependency note: Coss decreases significantly at higher Vds. For Vcc far from the nominal design point (e.g. &lt;5 V or &gt;15 V), verify scale factor against Coss vs Vds curve in the datasheet or use manufacturer energy-equivalent Coss (Coss,er) if provided. </t>
  </si>
  <si>
    <t xml:space="preserve">ZVS quality factor k_coss (edit I36 to override (replace its formula with your value))
Si-planar (BS170, 2N7000): 0.40–0.50
Si vertical DMOS (IRF510, IRF540, IRFZ44N): 0.35
RF MOSFET LDMOS (RD16HVF1, BLF574): 0.05–0.10
Unknown / conservative: 0.25 (default)
Formula: p_coss = 0.5 × Coss_eff × V_pk² × f × k_coss</t>
  </si>
  <si>
    <t xml:space="preserve">⚠ To override k_coss: type your value directly into I36 (replacing =H36 formula). Example: 0.08 for LDMOS/GaN ZVS, 0.35 for Si-DMOS poor-ZVS, 0.40–0.50 for Si-planar poor-ZVS. Default formula =H36 auto-selects by device type from H36. J95 now uses I36.</t>
  </si>
  <si>
    <t xml:space="preserve">V_DSS Safety Factor  (×V_pk_nominal). Typical: 2.0× (steady-state), 2.5× (HF bench), 3.0× (severe mistuning / VLF high-V)</t>
  </si>
  <si>
    <t xml:space="preserve">ℹ Mistuned V_pk can reach 5×Vcc; see I82 for worst-case check. Guidelines: 2.0× steady-state only | 3.0× HF bench | 4.0× severe mistuning/VLF high-V.</t>
  </si>
  <si>
    <t xml:space="preserve">INTERMEDIATE CALCULATIONS</t>
  </si>
  <si>
    <t xml:space="preserve">Comment</t>
  </si>
  <si>
    <t xml:space="preserve">Angular Frequency  ω = 2π · f</t>
  </si>
  <si>
    <t xml:space="preserve">rad/s</t>
  </si>
  <si>
    <t xml:space="preserve">ω = angular frequency used in all component formulas below</t>
  </si>
  <si>
    <t xml:space="preserve">Optimum Load Resistance  R  (Sokal eq.6, QL-corrected polynomial)</t>
  </si>
  <si>
    <t xml:space="preserve">Sokal AACD 2001 eq.6a (3rd-order, ±0.01%): R = Veff²/P_out · f(QL), where f(QL) = 0.576801×(1.0000086 − 0.414395/QL − 0.577501/QL² + 0.205967/QL³). η does not appear in the R formula (Sokal formulation); it enters the design only through the efficiency model (C88/J95) and I_dc (C43). The C6 convergence check validates this formula directly.</t>
  </si>
  <si>
    <t xml:space="preserve">DC Supply Current  I_dc  =  P_out / (Vcc · η)</t>
  </si>
  <si>
    <t xml:space="preserve">A</t>
  </si>
  <si>
    <t xml:space="preserve">Average DC supply current. Uses V_eff=(Vcc−ΔV−Vo) in denominator. MOSFET (Vo=0): I_dc = Pout/((Vcc−ΔV)×η) ← IMPROVED (Sokal Eq.3 uses Vcc alone; ΔV correction here gives more accurate I_dc when supply droop ΔV&gt;0). BJT (Vo&gt;0): I_dc = Pout/((Vcc−ΔV−Vo)×η) — KNOWN CONSERVATIVE APPROXIMATION: overestimates I_dc by Vo/(Vcc−ΔV−Vo)×100% vs Sokal eq.3 which uses Vcc alone. Example: Vo=0.5V, Vcc=5V → +11% overestimate. This is intentional (safe-side for I_pk and thermal calculations). R formula (C42) and I_dc both use Veff consistently. Press F9 until C88 stabilises.</t>
  </si>
  <si>
    <t xml:space="preserve">Effective Drive Voltage  V_eff  =  Vcc − V_sat</t>
  </si>
  <si>
    <t xml:space="preserve">Usable voltage swing. Vo (C20) = transistor voltage-saturation offset; use 0 for MOSFET (ideal switch), 0.1–1 V for BJT at low freq. Supply-wiring droop ΔV.</t>
  </si>
  <si>
    <t xml:space="preserve">CLASS-E COMPONENT VALUES  (Sokal / Raab equations)</t>
  </si>
  <si>
    <t xml:space="preserve">Std 5%</t>
  </si>
  <si>
    <t xml:space="preserve">C1  Shunt Capacitor (drain-to-GND)  [QL-corrected, Sokal eq.7]</t>
  </si>
  <si>
    <t xml:space="preserve">F</t>
  </si>
  <si>
    <t xml:space="preserve">Sokal eq.7 QL-corrected polynomial / (5.4466·ω·R). RFC correction +0.6/(ω²·L_RFC) is dynamically linked to actual RFC value (C54). Note: C1 depends on RFC (C54) which depends on R (C42) which depends on η (C88) — downstream dependency, not feedback loop: C1 does not feed back into η. The convergence check in C6 explicitly verifies C1 self-consistency. Subtract MOSFET Coss (C32, scaled by C36) for external cap C1_ext (C33). | ℹ ACCURACY: Polynomial matches Sokal Table I to within ±0.18% across all valid QL (1.7879–∞). C1 (C48/C49) is C1_TOTAL (Coss_eff + external cap). The external capacitor to physically fit is C1_ext = C1_total − Coss_eff (see C33). ⚠ For QL &gt; 7, Kazimierczuk &amp; Puczko (1987) exact analysis may differ slightly due to higher-order RFC interaction; treat C1 as a starting point and optimise ZVS with LTspice for QL &gt; 7.</t>
  </si>
  <si>
    <t xml:space="preserve">C1  [pF]</t>
  </si>
  <si>
    <t xml:space="preserve">Choose nearest standard value (silver-mica or NP0 ceramic)</t>
  </si>
  <si>
    <t xml:space="preserve">L2  Series Resonant Inductor</t>
  </si>
  <si>
    <t xml:space="preserve">H</t>
  </si>
  <si>
    <t xml:space="preserve">Wind this inductor. L2 = QL×R/ω (Sokal Eq.10). This is the physical series coil between drain and C2.</t>
  </si>
  <si>
    <t xml:space="preserve">L2  [µH]</t>
  </si>
  <si>
    <t xml:space="preserve">µH</t>
  </si>
  <si>
    <t xml:space="preserve">Wind on T68-6 toroid; verify SRF &gt; 10× operating frequency</t>
  </si>
  <si>
    <t xml:space="preserve">C2  Series Resonant Capacitor  [Sokal Table I fit, valid QL≥5]</t>
  </si>
  <si>
    <t xml:space="preserve">C2  [pF]</t>
  </si>
  <si>
    <t xml:space="preserve">Polypropylene (WIMA FKP) or silver-mica</t>
  </si>
  <si>
    <t xml:space="preserve">RFC  RF Choke (minimum inductance  ≥ 30·R/ω,  use 50·R/ω in practice)</t>
  </si>
  <si>
    <t xml:space="preserve">Sokal QEX 2001: choke reactance must be ≥30×R.</t>
  </si>
  <si>
    <t xml:space="preserve">⚠ RFC OVERRIDE PROCEDURE — READ CAREFULLY: (1) Calculate your RFC in µH. (2) Enter the value ÷ 1,000,000 (in Henrys) DIRECTLY INTO C54 — replace its formula. Example: 20 µH → type 0.000020 into C54. 🚫 DO NOT CHANGE C55 — C55 auto-displays C54 in µH and C1/C2 use C54. Editing C55 does NOT update C1 or C2. Editing C55 means C1 and C2 keep using old RFC value silently! To restore auto-RFC: delete C54 content and re-enter =50*C42/C41</t>
  </si>
  <si>
    <t xml:space="preserve">RFC  [µH]</t>
  </si>
  <si>
    <t xml:space="preserve">L_ser  Net excess inductance of L2-C2 branch at ω  [informational only - NOT a separate coil]</t>
  </si>
  <si>
    <t xml:space="preserve">Informational only. L_ser = L2 − 1/(ω²·C2) is the net excess inductance built into L2 by design. Do NOT wind a separate coil for L_ser. Wind only L2 (row 46).</t>
  </si>
  <si>
    <t xml:space="preserve">L_ser  [µH]</t>
  </si>
  <si>
    <t xml:space="preserve">Informational only. L_ser is the net inductive excess already built into the L2-C2 branch by design (ωL2 &gt; 1/ωC2). Do NOT wind or purchase a separate inductor for L_ser. Wind only L2 (row 46). See F51 for L2 winding instructions.</t>
  </si>
  <si>
    <t xml:space="preserve">L2  Physical coil to wind  =  QL × R / ω  [identical to L2 rows 46–47 — ONE coil only; L_total = L2]</t>
  </si>
  <si>
    <t xml:space="preserve">This row previously showed "L_total" but L_total = L2 — there is NO separate coil. Wind ONLY the L2 coil from rows 50–51. L_ser (rows 56–57) is informational only and is NOT wound separately. The net inductive excess of the L2-C2 branch is already inherent in L2 by design.</t>
  </si>
  <si>
    <t xml:space="preserve">L_total  [µH]  — same as L2 above; wind ONE coil only</t>
  </si>
  <si>
    <t xml:space="preserve">⚠ L_total = L2 (rows 46–47). This row is kept for reference only. Standard value picker (E59) = E49. Do NOT wind two separate coils.</t>
  </si>
  <si>
    <t xml:space="preserve">OUTPUT IMPEDANCE MATCHING  (L-Network: R_drain → Z_load)</t>
  </si>
  <si>
    <t xml:space="preserve">Internal Load R at drain</t>
  </si>
  <si>
    <t xml:space="preserve">Optimum Class-E drain load (from Sokal eq.)</t>
  </si>
  <si>
    <t xml:space="preserve">External Load  Z_out</t>
  </si>
  <si>
    <t xml:space="preserve">As set in Input Parameters (typically 50 Ω)</t>
  </si>
  <si>
    <t xml:space="preserve">L-network quality factor Q_match  =  √(Z_max/Z_min − 1)</t>
  </si>
  <si>
    <t xml:space="preserve">L_match  (series element)</t>
  </si>
  <si>
    <t xml:space="preserve">L_match  [µH]</t>
  </si>
  <si>
    <t xml:space="preserve">C_match  (shunt element)</t>
  </si>
  <si>
    <t xml:space="preserve">C_match  [pF]</t>
  </si>
  <si>
    <t xml:space="preserve">Network Type (Step-UP: R_drain &lt; Z_load  |  Step-DOWN: R_drain &gt; Z_load)</t>
  </si>
  <si>
    <t xml:space="preserve">In Step-DOWN (R_drain &gt; Z_load): Shunt C_match at DRAIN (HIGH-Z) side, series L_match toward load. In Step-UP (R_drain &lt; Z_load, typical QRP Class-E): Series L_match from DRAIN (LOW-Z), then Shunt C_match at LOAD (HIGH-Z, 50Ω) side. Both give LOW-PASS L-network response for better harmonic rejection. L_match=Q×R_min/ω; C_match=Q/(ω×R_max). ⚠ L-NETWORK PROVIDES IMPEDANCE MATCH ONLY — add the 5-7 element Chebyshev LPF for harmonic attenuation ≥43 dBc (FCC §97.307) / ≥50 dBc (IARU).</t>
  </si>
  <si>
    <t xml:space="preserve">INPUT IMPEDANCE MATCHING  (L-Network: Z_source → R_gate)</t>
  </si>
  <si>
    <t xml:space="preserve">Gate Impedance  |Zg| ≈ 1 / (ω · Ciss)</t>
  </si>
  <si>
    <t xml:space="preserve">X_ciss = 1/(ω·Ciss): reactive part of gate impedance. Gate model: series Rgate−jXciss. L_in (C73) includes a term 1/(ω²·Ciss) to resonate out Xciss.</t>
  </si>
  <si>
    <t xml:space="preserve">Gate Series Impedance  |Zg| = √(Xciss²+Rg²)</t>
  </si>
  <si>
    <t xml:space="preserve">Gate modelled as series Xciss-Rgate. |Zg|=√(Xciss²+Rg²). When Xciss&gt;&gt;Rgate (typical at HF), series resonance via L_in dominates — see C59.</t>
  </si>
  <si>
    <t xml:space="preserve">Source Impedance  Z_in</t>
  </si>
  <si>
    <t xml:space="preserve">From Input Parameters</t>
  </si>
  <si>
    <t xml:space="preserve">Q_in  =  √(Z_max/Z_min − 1)  [uses R_gate (C28, real part after Xciss cancellation by L_in), NOT |Zg|]</t>
  </si>
  <si>
    <t xml:space="preserve">Q_in uses R_gate (C28) — the real part of gate impedance after the resonating inductor L_in cancels reactive Xciss — not |Zg| (C75). Using |Zg| would give incorrect Q because Xciss is neutralised by L_in. Q_in = √(Z_max/Z_min − 1) where Z_max=MAX(Z_source, R_gate) and Z_min=MIN(Z_source, R_gate). Note: C27 is Ciss (pF), C28 is R_gate (Ω) — the formula correctly uses C28.</t>
  </si>
  <si>
    <t xml:space="preserve">L_in  (series element)  [µH]</t>
  </si>
  <si>
    <t xml:space="preserve">Two-case model (Xciss/Rgate ratio test):
Case 1 — Xciss &lt; 3×Rgate: L-network model unreliable; full complex-impedance synthesis required (ADS/LTspice).
Case 2 — Xciss ≥ 3×Rgate: L_in = 1/(ω²·Ciss) + Q_in·R_min/ω. The first term resonates out gate Ciss; the second term provides impedance transformation from Z_source to R_gate. For Xciss/Rgate ≥ 10, the transformation term (Q_in·R_min/ω) is ≪ resonating term — verify with LTspice. C_in: omit in series-resonance regime (Xciss ≥ 3×Rgate).</t>
  </si>
  <si>
    <t xml:space="preserve">C_in  [pF]  ⚠ When Xciss/Rgate ≥ 3 (see H74), C_in has negligible effect. Omit C_in from the circuit; tune L_in empirically.</t>
  </si>
  <si>
    <t xml:space="preserve">Input matching shunt capacitor (pF). C_in = Q_in / (ω × Z_high). Step-DOWN topology (Z_source &gt; R_gate, typical): shunt C at source side, series L toward gate. Q_in is based on R_gate (after Xciss resonant cancellation). ⚠ When Xciss/R_gate ≥ 3 (see H74), C_in contribution is negligible — the dominant effect is the series resonance between L_in and Ciss. In this regime C_in may be omitted or tuned empirically.</t>
  </si>
  <si>
    <t xml:space="preserve">PERFORMANCE ESTIMATES</t>
  </si>
  <si>
    <t xml:space="preserve">Peak Drain Voltage  V_pk = 3.562×(Vcc_eff−Vo)+Vo   where Vcc_eff = Vcc−ΔV   ⚠</t>
  </si>
  <si>
    <t xml:space="preserve">⚠ V_pk = 3.562×(Vcc_eff−Vo) where Vcc_eff = Vcc−ΔV (C16−C35). Peak drain voltage scales with the effective supply voltage — supply droop DOES reduce V_pk. This formula is now consistent with V_eff (C44) and the Coss-loss formula (J94). Vo = 0 for MOSFETs; use Vce(sat) or RCE(sat)×Ic for BJTs (standard Sokal formulation). Under mistuned conditions V_pk can reach 5×Vcc_eff or more. During bench testing/tuning, reduce Vcc to 30% of design value. Choose MOSFET with V_DSS ≥ 3.56×safety_factor×Vcc_eff (see C84).</t>
  </si>
  <si>
    <t xml:space="preserve">Minimum MOSFET V_DSS required  (C37× safety margin — covers bench-tuning where V_pk can reach 5×Vcc)</t>
  </si>
  <si>
    <t xml:space="preserve">V_pk_corrected  (Kazimierczuk 1st-order finite RFC correction)  ℹ</t>
  </si>
  <si>
    <t xml:space="preserve">ℹ 1st-order correction for finite RFC: V_pk×(1+0.6·R/X_RFC) where X_RFC=ω·L_RFC. For RFC=50×R/ω: correction≈+1.2%; for RFC=30×R/ω: +2.0%. Informational only — use C84 for V_DSS safety margin calculations.</t>
  </si>
  <si>
    <t xml:space="preserve">Peak Drain Current  I_pk ≈ 2.862 × I_dc</t>
  </si>
  <si>
    <t xml:space="preserve">I_pk must be ≤ I_D(max) of MOSFET</t>
  </si>
  <si>
    <t xml:space="preserve">DC Supply Current  I_dc  (cross-ref to row 42)</t>
  </si>
  <si>
    <t xml:space="preserve">Average current from supply — same value as row 42; repeated here for proximity to the performance section.</t>
  </si>
  <si>
    <t xml:space="preserve">Predicted η  (Sokal eq.2, based on Rds(on); compare to input η in C21)</t>
  </si>
  <si>
    <t xml:space="preserve">Power Dissipated  P_diss = Vcc·I_dc − P_out</t>
  </si>
  <si>
    <t xml:space="preserve">Device dissipation = power arriving at circuit node minus output = (Vcc−ΔV)×I_dc − P_out. Supply droop ΔV is wiring resistance loss EXTERNAL to the device — correctly excluded from device P_diss. Total power waste = Vcc×I_dc − P_out = P_diss + ΔV×I_dc (wiring). ⚠ For thermal heatsink design: θ_JA calc uses this P_diss (device only) — correct. For PSU sizing: add wiring loss ΔV×I_dc to P_diss. I_dc (C43) uses predicted η (C88) when numeric; falls back to user η (C21).</t>
  </si>
  <si>
    <t xml:space="preserve">ℹ I88 (derated η): Uses original I_dc (C43), not re-computed derated I_dc — first-order estimate; underestimates RFC/Coss loss at derated conditions by ~10-15%. Informational only.</t>
  </si>
  <si>
    <t xml:space="preserve">Max Allowable θ_JA  =  (T_j_max − T_amb) / P_diss</t>
  </si>
  <si>
    <t xml:space="preserve">°C/W</t>
  </si>
  <si>
    <t xml:space="preserve">Denominator uses min(J99, C89). J99 = MOSFET-only losses: 1.365×I_dc²×Rds(on) [I_rms_switch²×Rds; 1.365 from Raab 1977 waveform integration] + P_switching (J98) + P_Coss (J95). NOTE: J98 = switching loss ONLY; J99 = total MOSFET thermal loss. External component losses (ESR_L2, ESR_C2, RFC, C1 ESR) heat passive components NOT the MOSFET die. LDMOS detection via column P in MOSFET Reference Table. Fallback T_j_max: LDMOS→200°C, Si→150°C.</t>
  </si>
  <si>
    <t xml:space="preserve">C2 Coeff Cross-Check:  (C2×ω×R) vs Sokal Table I  |  QL = C19</t>
  </si>
  <si>
    <t xml:space="preserve">Explicit guard for QL &lt; 1.7879 prevents silent errors. Cross-check verifies the Sokal polynomial coefficients in C52 (1.00121, 1.01468, 0.104823, 1.7879). ⚠ NOTE: The RFC correction coefficient (0.2 in C52 and added back as 0.2 in C91) cannot be independently verified by this cross-check because it algebraically cancels out — C91 is tautological with respect to that term. To verify RFC coefficient: compute C52·ω·R at RFC=∞ (omit RFC term) and compare to base Sokal Eq.9. The polynomial coefficients themselves (QL={1.7879,2,2.5,3,5,10,20}) for independent verification of C2. ✔OK = formula within ±0.5% of Table I.</t>
  </si>
  <si>
    <t xml:space="preserve">Thermal Resistance θ_JA  (actual, including heatsink)  [enter for T_j derated η]</t>
  </si>
  <si>
    <t xml:space="preserve">The room-temperature Rds(on) was used in the η formula regardless of junction temperature. Enter actual thermal resistance (junction-to-ambient, including heatsink) here. I86 then shows the derated η at the estimated T_j. For TO-220 with small heatsink: θ_JA ≈ 20–40 °C/W; with large heatsink: 5–15 °C/W; without heatsink (free-air): θ_JA = value from datasheet (e.g. 62 °C/W for TO-92).</t>
  </si>
  <si>
    <t xml:space="preserve">LOW-PASS FILTER </t>
  </si>
  <si>
    <t xml:space="preserve">LPF Cutoff Frequency  fc = 1.40 × f</t>
  </si>
  <si>
    <t xml:space="preserve">5-element Chebyshev (0.1 dB ripple) LPF. Cutoff fc = 1.40×f places the fundamental well within the passband (≤0.1 dB insertion loss at f). The filter provides ~16.6 dBc additional rejection at 2f. The Class-E L2-C2 network inherently attenuates the 2nd harmonic by ~20 dBc (QL=5), so total system rejection at 2f may reach ~35–55 dBc — but this must be verified with LTspice or a spectrum analyser before regulatory submission. g-values (0.1 dB ripple, 5 poles): g1=g5=1.1468, g2=g4=1.3712, g3=1.9750.</t>
  </si>
  <si>
    <t xml:space="preserve">LPF Angular Cutoff  ωc = 2π·fc</t>
  </si>
  <si>
    <t xml:space="preserve">LPF Reference Impedance  Z0</t>
  </si>
  <si>
    <t xml:space="preserve">Typically 50Ω (antenna). Adjust to match actual load.</t>
  </si>
  <si>
    <t xml:space="preserve">LPF L1  (series, 5-el Chebyshev 0.1dB: g1=1.1468)</t>
  </si>
  <si>
    <t xml:space="preserve">5-element Chebyshev LPF (0.1 dB passband ripple, fc = 1.40×f). Topology: series L1 – shunt C2 – series L3 – shunt C4 – series L5. g-values (0.1 dB ripple, 5 poles): g1=g5=1.1468, g2=g4=1.3712, g3=1.9750. L = g×Z0/ωc; C = g/(Z0×ωc). Rolloff: 5-pole ≈ 30 dB/octave. At fc = 1.40×f, the filter alone provides approximately 16–17 dBc rejection at 2f (per formula C109 — the exact value updates with every fc change). The Class-E L2-C2 network adds ~20 dBc at QL = 5; combined total may reach 35–50 dBc but must be verified with LTspice or a spectrum analyser before regulatory submission. ⚠ IARU requires −50 dBc; FCC §97.307 requires −43 dBc. ⚠ All attenuation values assume 50Ω source and load; actual Class-E drain impedance ≠ 50Ω.</t>
  </si>
  <si>
    <t xml:space="preserve">LPF L1  [µH]</t>
  </si>
  <si>
    <t xml:space="preserve">LPF C2  (shunt, 5-el Chebyshev 0.1dB: g2=1.3712)</t>
  </si>
  <si>
    <t xml:space="preserve">C2 = g2/(Z0×ωc). First shunt capacitor. Use NP0/C0G ceramic or silver-mica.</t>
  </si>
  <si>
    <t xml:space="preserve">LPF C2  [pF]</t>
  </si>
  <si>
    <t xml:space="preserve">LPF L3  (series, 5-el Chebyshev 0.1dB: g3=1.9750)</t>
  </si>
  <si>
    <t xml:space="preserve">L3 = g3×Z0/ωc. Centre series inductor. Wind on T50-6 or T68-6 toroid; verify SRF &gt; 10×f.</t>
  </si>
  <si>
    <t xml:space="preserve">LPF L3  [µH]</t>
  </si>
  <si>
    <t xml:space="preserve">LPF C4  (shunt, 5-el Chebyshev 0.1dB: g4=1.3712)</t>
  </si>
  <si>
    <t xml:space="preserve">C4 = g4/(Z0×ωc). Second shunt capacitor. By symmetry g4=g2=1.3712. Use NP0/C0G or silver-mica.</t>
  </si>
  <si>
    <t xml:space="preserve">LPF C4  [pF]</t>
  </si>
  <si>
    <t xml:space="preserve">LPF L5  (series, 5-el Chebyshev 0.1dB: g5=1.1468)</t>
  </si>
  <si>
    <t xml:space="preserve">L5 = g5×Z0/ωc. By symmetry g5=g1=1.1468. Output series inductor toward antenna/load. ⚠ Attenuation values in C104/C105 are calculated for an IDEAL 50Ω source driving the LPF. The actual Class-E drain impedance is not 50Ω (typically R_opt = 5–20Ω + reactive). Even with an L-network, the LPF input source impedance deviates from 50Ω. Actual 2f attenuation may differ ±10–20 dB from these figures. For regulatory compliance, always verify via LTspice simulation or spectrum analyser measurement.</t>
  </si>
  <si>
    <t xml:space="preserve">LPF L5  [µH]</t>
  </si>
  <si>
    <t xml:space="preserve">Attenuation at 2nd harmonic (2f)  ⚠ Assumes ideal 50Ω source — see F106</t>
  </si>
  <si>
    <t xml:space="preserve">dBc</t>
  </si>
  <si>
    <t xml:space="preserve">Attenuation at 3rd harmonic (3f)  ⚠ Assumes ideal 50Ω source — see F107</t>
  </si>
  <si>
    <t xml:space="preserve">LPF Source Impedance Validity Check</t>
  </si>
  <si>
    <t xml:space="preserve">KEY REFERENCES &amp; ONLINE CALCULATORS</t>
  </si>
  <si>
    <t xml:space="preserve">  📄  Sokal N.O., Sokal A.D. — 'Class E, a new class of high-efficiency tuned single-ended switching power amplifiers', IEEE JSSC, June 1975</t>
  </si>
  <si>
    <t xml:space="preserve">  📄  Sokal N.O. — 'Class-E RF Power Amplifiers', QEX Jan/Feb 2001  [WA1HQC — equations used in this calculator]</t>
  </si>
  <si>
    <t xml:space="preserve">  📄  Raab F.H. — 'Idealized operation of the class E tuned power amplifier', IEEE Trans. CAS, Dec. 1977</t>
  </si>
  <si>
    <t xml:space="preserve">  📄  Kazimierczuk &amp; Puczko — 'Exact analysis of class-E tuned power amplifier at any Q and duty ratio', IEEE Trans. CAS, 1987</t>
  </si>
  <si>
    <t xml:space="preserve">  🌐  VK1SV / ANU Online Calculator:  https://people.physics.anu.edu.au/~dxt103/calculators/class-e.php</t>
  </si>
  <si>
    <t xml:space="preserve">  🌐  VK2ZAY (Alan Yates) Class-E Calculator:  http://www.vk2zay.net/calculators/class-E.php</t>
  </si>
  <si>
    <t xml:space="preserve">  🌐  Sigenics Class-E Circuit Calculator:  http://class-e.sigenics.com/</t>
  </si>
  <si>
    <t xml:space="preserve">  🌐  Max Carter Class-E Transmitter Calc:  http://maxmcarter.com/classexmtr/classecalc.html</t>
  </si>
  <si>
    <t xml:space="preserve">  📝  Paul Harden NA5N — NorCal QRP Class-E Article:  https://norcalqrp.org/files/Class_E_Amplifiers.pdf</t>
  </si>
  <si>
    <t xml:space="preserve">  📝  VK1SV Class-E for Beginners:  https://people.physics.anu.edu.au/~dxt103/class-e/</t>
  </si>
  <si>
    <t xml:space="preserve">  📗  Kazimierczuk — 'RF Power Amplifiers', Wiley 2008  (exact analysis, any Q &amp; duty cycle)</t>
  </si>
  <si>
    <t xml:space="preserve">  📗  Cripps S.C. — 'RF Power Amplifiers for Wireless Communications', Artech House 2006</t>
  </si>
  <si>
    <t xml:space="preserve">PARALLEL MOSFET POWER SCALING  ·  CLASS-E RF POWER AMPLIFIER</t>
  </si>
  <si>
    <t xml:space="preserve">Theory, scaling equations, component re-calculation, and practical implementation guide for N parallel MOSFETs</t>
  </si>
  <si>
    <t xml:space="preserve">ℹ HOW TO USE THIS SHEET — STEP-BY-STEP WORKFLOW:
① On the main 'Class-E Calculator' sheet, design your single-MOSFET baseline and press F9 until η converges.
② Choose N (number of parallel MOSFETs) from the INPUT PARAMETERS section below.
③ The SCALING TABLE (Section 3) auto-calculates all component values for N = 1 through 8 in parallel.
④ To reconverge the main sheet for N parallel: change P_out on main sheet to N × P_out(original), keep Vcc fixed, press F9. Sokal eq.6 then yields R_opt/N automatically. Also update Ciss on main sheet to N × Ciss_single.
⑤ Verify RFC saturation current rating ≥ N × I_dc. Resize RFC core if needed.
⑥ Simulate in LTspice with N parallel MOSFET models before building.</t>
  </si>
  <si>
    <t xml:space="preserve">THEORETICAL FOUNDATION</t>
  </si>
  <si>
    <t xml:space="preserve">Why N parallel MOSFETs work in Class-E switching mode</t>
  </si>
  <si>
    <t xml:space="preserve">In Class-E, output power P_out = Veff² × 0.5768 / R_opt (Sokal eq.6). To scale power ×N at the same Vcc (no need for higher V_DSS devices), R_opt must be divided by N. N identical MOSFETs in parallel form a composite device with R_ds(on)/N, Coss×N, Ciss×N — exactly the condition required. Efficiency is maintained because Rds(on)/R_opt is invariant (both scale ÷N). ZVS/ZCS switching waveforms are preserved as long as the load network is re-tuned for R_opt/N.</t>
  </si>
  <si>
    <t xml:space="preserve">Positive temperature coefficient — self-balancing</t>
  </si>
  <si>
    <t xml:space="preserve">MOSFETs in switching mode have a positive R_ds(on) temperature coefficient (+0.5%/°C typical Si). If one device runs hotter, its channel resistance rises, reducing its share of current automatically. This is the opposite of BJT paralleling (negative Vbe tempco → thermal runaway). Class-E parallel operation is inherently thermally stable. Per NXP AN11599: gate resistor splitting (individual R_gate per device + common R_gate at driver) prevents the Miller plateau of the lowest-Vth device from clamping the others during switching.</t>
  </si>
  <si>
    <t xml:space="preserve">Thermal advantage — dominant benefit for QRP designs</t>
  </si>
  <si>
    <t xml:space="preserve">Total power dissipation P_diss = Vcc × I_dc − P_out is fixed by efficiency, independent of N. Each device dissipates P_diss / N watts. For the example design (BS170, P_out=0.4W, η=75%, P_diss≈0.13W): at N=1 each BS170 dissipates 0.13W (approaching its 0.83W TO-92 limit). At N=4, each device dissipates only 0.033W — far below the thermal limit, enabling operation at any ambient temperature without a heatsink. This is often the primary reason to use N&gt;1.</t>
  </si>
  <si>
    <t xml:space="preserve">INPUT PARAMETERS  (linked from Class-E Calculator sheet)</t>
  </si>
  <si>
    <t xml:space="preserve">Supply Voltage  Vcc</t>
  </si>
  <si>
    <t xml:space="preserve">DC supply voltage. Unchanged for all N — parallel scaling does not require higher Vcc.</t>
  </si>
  <si>
    <t xml:space="preserve">Output Power  P_out  (single MOSFET, N=1 baseline)</t>
  </si>
  <si>
    <t xml:space="preserve">Single-device baseline. Theoretical total power = N × this value.</t>
  </si>
  <si>
    <t xml:space="preserve">Operating Frequency  f</t>
  </si>
  <si>
    <t xml:space="preserve">Switching frequency. Unchanged for parallel operation.</t>
  </si>
  <si>
    <t xml:space="preserve">Loaded Q Factor  Q_L</t>
  </si>
  <si>
    <t xml:space="preserve">QL unchanged. Determines L2/C2 ratio. For HF, QL=5–10 recommended.</t>
  </si>
  <si>
    <t xml:space="preserve">Predicted Drain Efficiency  η  (converged from main sheet)</t>
  </si>
  <si>
    <t xml:space="preserve">Press F9 on main sheet until C88 stabilises before reading this. η is invariant under parallel scaling because Rds(on)/R_opt ratio is preserved.</t>
  </si>
  <si>
    <t xml:space="preserve">Optimum Load Resistance  R_opt  (N=1)</t>
  </si>
  <si>
    <t xml:space="preserve">Sokal eq.6: R = Veff² × 0.5768 / P_out × f(QL). This is the drain load for a single MOSFET.</t>
  </si>
  <si>
    <t xml:space="preserve">C1 total  (N=1)  [pF]</t>
  </si>
  <si>
    <t xml:space="preserve">Sokal eq.7 shunt capacitor (Coss_eff + C1_ext). Scales ×N for N parallel devices.</t>
  </si>
  <si>
    <t xml:space="preserve">L2  Series Resonant Inductor  (N=1)  [µH]</t>
  </si>
  <si>
    <t xml:space="preserve">L2 = QL × R_opt / ω. Scales ÷N for N parallel. Physically smaller coil required.</t>
  </si>
  <si>
    <t xml:space="preserve">C2  Series Resonant Capacitor  (N=1)  [pF]</t>
  </si>
  <si>
    <t xml:space="preserve">Sokal eq.9 series resonant capacitor. Scales ×N. Parallel capacitors of same type.</t>
  </si>
  <si>
    <t xml:space="preserve">RFC  RF Choke  (N=1)  [µH]</t>
  </si>
  <si>
    <t xml:space="preserve">RFC = 50 × R_opt / ω. Scales ÷N. ⚠ Must handle N × I_dc — verify core saturation current.</t>
  </si>
  <si>
    <t xml:space="preserve">Coss  (datasheet, single device)  [pF]</t>
  </si>
  <si>
    <t xml:space="preserve">Output capacitance from datasheet. N parallel devices contribute N × Coss to the drain node.</t>
  </si>
  <si>
    <t xml:space="preserve">Coss scale factor  (bias-point correction)</t>
  </si>
  <si>
    <t xml:space="preserve">Empirical scale factor for Coss at Vds ≈ 0.5×Vcc. Si-planar: 0.40, Si-DMOS: 0.35, LDMOS: 0.85.</t>
  </si>
  <si>
    <t xml:space="preserve">Ciss  (gate input capacitance, single device)  [pF]</t>
  </si>
  <si>
    <t xml:space="preserve">⚠ N parallel devices present N × Ciss to the gate driver. Main gate drive design constraint.</t>
  </si>
  <si>
    <t xml:space="preserve">I_dc  (average DC supply current, single MOSFET)  [A]</t>
  </si>
  <si>
    <t xml:space="preserve">Per-device average current. Unchanged per device for any N. RFC must handle N × I_dc total.</t>
  </si>
  <si>
    <t xml:space="preserve">Peak Drain Voltage  V_pk  [V]</t>
  </si>
  <si>
    <t xml:space="preserve">V_pk = 3.562 × Vcc. Unchanged for all N — parallel scaling does not affect drain voltage waveform.</t>
  </si>
  <si>
    <t xml:space="preserve">V_DSS required  (including safety margin)  [V]</t>
  </si>
  <si>
    <t xml:space="preserve">✅ V_DSS requirement is IDENTICAL for all N. Same MOSFET part number works for N=1 through N=8.</t>
  </si>
  <si>
    <t xml:space="preserve">Angular frequency  ω = 2π·f  [rad/s]</t>
  </si>
  <si>
    <t xml:space="preserve">Used in component scaling formulas below.</t>
  </si>
  <si>
    <t xml:space="preserve">PARAMETER SCALING RULES  (single MOSFET → N parallel MOSFETs)</t>
  </si>
  <si>
    <t xml:space="preserve">Single (N=1)</t>
  </si>
  <si>
    <t xml:space="preserve">N Parallel</t>
  </si>
  <si>
    <t xml:space="preserve">Scale</t>
  </si>
  <si>
    <t xml:space="preserve">Explanation</t>
  </si>
  <si>
    <t xml:space="preserve">Warnings / Notes</t>
  </si>
  <si>
    <t xml:space="preserve">Optimum Load Resistance  R_opt</t>
  </si>
  <si>
    <t xml:space="preserve">R (Sokal eq.6)</t>
  </si>
  <si>
    <t xml:space="preserve">R / N</t>
  </si>
  <si>
    <t xml:space="preserve">÷ N</t>
  </si>
  <si>
    <t xml:space="preserve">Master parameter. P_out ∝ Veff²/R_opt — to scale power ×N at fixed Vcc, R_opt must be ÷N. All other component changes follow from this single equation.</t>
  </si>
  <si>
    <t xml:space="preserve">⚠ Verify R_opt/N &gt; 1 Ω minimum. Below ~1 Ω, PCB trace resistance and lead inductance dominate.</t>
  </si>
  <si>
    <t xml:space="preserve">Output Power  P_out</t>
  </si>
  <si>
    <t xml:space="preserve">P₀ = Veff²×k/R</t>
  </si>
  <si>
    <t xml:space="preserve">N × P₀</t>
  </si>
  <si>
    <t xml:space="preserve">× N</t>
  </si>
  <si>
    <t xml:space="preserve">Direct consequence of R_opt/N. Theoretical linear scaling. Real-world gain ≈ 85–95%×N due to layout parasitics, gate drive losses, component tolerances.</t>
  </si>
  <si>
    <t xml:space="preserve">✅ Linear scaling — best achievable without raising Vcc or changing device type.</t>
  </si>
  <si>
    <t xml:space="preserve">DC Supply Current  I_dc  (total)</t>
  </si>
  <si>
    <t xml:space="preserve">I₀ = P₀/(Vcc×η)</t>
  </si>
  <si>
    <t xml:space="preserve">N × I₀</t>
  </si>
  <si>
    <t xml:space="preserve">Total current drawn from supply scales ×N. Each individual MOSFET still carries I₀ average and 2.862×I₀ peak — per-device current ratings are UNCHANGED.</t>
  </si>
  <si>
    <t xml:space="preserve">⚠ Power supply must be rated ≥ N×I_dc. RFC choke must not saturate at N×I_dc.</t>
  </si>
  <si>
    <t xml:space="preserve">Shunt Capacitor  C1  (total at drain node)</t>
  </si>
  <si>
    <t xml:space="preserve">C1 = f(R_opt, ω)</t>
  </si>
  <si>
    <t xml:space="preserve">N × C1</t>
  </si>
  <si>
    <t xml:space="preserve">C1 ∝ 1/(ω×R_opt) from Sokal eq.7. As R_opt → R_opt/N, C1_total scales ×N automatically. Key insight: N parallel MOSFETs contribute N×Coss_eff to the drain node — this often eliminates the need for external C1 capacitance entirely. Calculate: C1_ext_new = MAX(0, N×C1_single − N×Coss_eff).</t>
  </si>
  <si>
    <t xml:space="preserve">✅ N×Coss fills most or all of the increased C1 requirement. The parasitic Coss becomes a feature.</t>
  </si>
  <si>
    <t xml:space="preserve">Series Resonant Inductor  L2</t>
  </si>
  <si>
    <t xml:space="preserve">L2 = QL×R/ω</t>
  </si>
  <si>
    <t xml:space="preserve">L2 / N</t>
  </si>
  <si>
    <t xml:space="preserve">L2 = QL × R_opt / ω. As R_opt → R_opt/N, L2 shrinks ÷N. Physically smaller coil required — fewer turns on same core, or smaller toroid.</t>
  </si>
  <si>
    <t xml:space="preserve">⚠ Very small L2 at N≥4 is harder to wind precisely. Use T50-6 or T68-6; measure with LCR meter after winding. Verify SRF &gt; 10×f.</t>
  </si>
  <si>
    <t xml:space="preserve">Series Resonant Capacitor  C2</t>
  </si>
  <si>
    <t xml:space="preserve">C2 = f(QL, R, ω)</t>
  </si>
  <si>
    <t xml:space="preserve">N × C2</t>
  </si>
  <si>
    <t xml:space="preserve">C2 ∝ 1/(ω×R_opt). Scales ×N — easy to achieve by connecting N capacitors in parallel.</t>
  </si>
  <si>
    <t xml:space="preserve">✅ Straightforward. Use same NP0/C0G or silver-mica type for all parallel capacitors.</t>
  </si>
  <si>
    <t xml:space="preserve">RF Choke  RFC</t>
  </si>
  <si>
    <t xml:space="preserve">50×R_opt/ω</t>
  </si>
  <si>
    <t xml:space="preserve">RFC / N</t>
  </si>
  <si>
    <t xml:space="preserve">RFC reactance requirement = 50×R_opt/ω scales ÷N (smaller inductance needed). However the choke must now carry N×I_dc — inductance shrinks but current increases. Verify core saturation current rating ≥ N×I_dc. Increase wire gauge accordingly.</t>
  </si>
  <si>
    <t xml:space="preserve">⚠ Critical: use a larger ferrite core (e.g. T106-2 instead of T68-6 for N=4) to prevent saturation. Re-verify SRF &gt; 10×f after rewinding.</t>
  </si>
  <si>
    <t xml:space="preserve">Peak Drain Voltage  V_pk</t>
  </si>
  <si>
    <t xml:space="preserve">3.562 × Vcc</t>
  </si>
  <si>
    <t xml:space="preserve">unchanged</t>
  </si>
  <si>
    <t xml:space="preserve">V_pk depends only on Vcc, not on N or R_opt. The Class-E ZVS voltage waveform shape is preserved as long as the load network is correctly tuned for R_opt/N.</t>
  </si>
  <si>
    <t xml:space="preserve">✅ V_DSS requirement is IDENTICAL for all N. Same MOSFET part number serves all configurations.</t>
  </si>
  <si>
    <t xml:space="preserve">Peak Drain Current  I_pk  (per device)</t>
  </si>
  <si>
    <t xml:space="preserve">2.862 × I_dc</t>
  </si>
  <si>
    <t xml:space="preserve">per device</t>
  </si>
  <si>
    <t xml:space="preserve">Each individual MOSFET still sees 2.862×I₀ peak, where I₀ is its per-device average. Total I_pk at drain bus = N×2.862×I₀, but each device rating is unchanged.</t>
  </si>
  <si>
    <t xml:space="preserve">✅ Same I_D(pulsed) rating required. No need for higher-current devices.</t>
  </si>
  <si>
    <t xml:space="preserve">Effective  R_ds(on)  (composite)</t>
  </si>
  <si>
    <t xml:space="preserve">Rds(on)</t>
  </si>
  <si>
    <t xml:space="preserve">Rds(on) / N</t>
  </si>
  <si>
    <t xml:space="preserve">Parallel channels: composite Rds(on) = Rds(on)/N. Efficiency η_res = R_opt/(R_opt+Rds_eff) = (R/N)/((R/N)+(Rds/N)) = R/(R+Rds). The Rds/R_opt ratio is INVARIANT — efficiency is preserved under parallel scaling.</t>
  </si>
  <si>
    <t xml:space="preserve">✅ This is why η does not degrade with N: both R_opt and R_ds(on) scale identically.</t>
  </si>
  <si>
    <t xml:space="preserve">Total Gate Capacitance  N×Ciss  (at driver output)</t>
  </si>
  <si>
    <t xml:space="preserve">Ciss (single)</t>
  </si>
  <si>
    <t xml:space="preserve">N × Ciss</t>
  </si>
  <si>
    <t xml:space="preserve">The gate driver now sees N×Ciss in parallel. This is the primary practical challenge of parallel scaling at HF. Gate charge Q_g_total = N×Q_g. Driver peak current = N×Q_g×f. For BS170 (Ciss=60pF, Q_g≈2nC) at 14MHz: N=4 requires 112mA peak gate drive — exceeds 74HC04 capability (25mA max). Use TC4420 (6A) or similar dedicated driver.</t>
  </si>
  <si>
    <t xml:space="preserve">⚠ Most critical challenge. Calculate: τ/T = R_gate × N×Ciss × f &lt; 5% mandatory. Use split gate resistors: individual R_gate(3–10Ω) per device + common R at driver.</t>
  </si>
  <si>
    <t xml:space="preserve">Gate Resistor  R_gate  (per device)</t>
  </si>
  <si>
    <t xml:space="preserve">R_gate (single)</t>
  </si>
  <si>
    <t xml:space="preserve">Individual + common</t>
  </si>
  <si>
    <t xml:space="preserve">Split</t>
  </si>
  <si>
    <t xml:space="preserve">NXP AN11599/IAN50005 recommendation: split the gate resistance into individual resistors (3–10 Ω) at each MOSFET gate pin plus a common resistor at the driver. Individual resistors prevent the first-switching device (lowest Vth) from clamping the others via Miller effect. Prevents parasitic oscillation between parallel gate loops.</t>
  </si>
  <si>
    <t xml:space="preserve">⚠ Layout critical: all gate traces must be equal length. Never connect gates with zero-ohm wire — always include individual R_gate ≥ 3Ω per device.</t>
  </si>
  <si>
    <t xml:space="preserve">Input Matching Inductor  L_in  (gate resonance)</t>
  </si>
  <si>
    <t xml:space="preserve">1/(ω²×Ciss)</t>
  </si>
  <si>
    <t xml:space="preserve">1/(ω²×N×Ciss)</t>
  </si>
  <si>
    <t xml:space="preserve">L_in resonates out the gate capacitance: L_in = 1/(ω²×Ciss). With N×Ciss total, L_in(N) = 1/(ω²×N×Ciss) + Q×R_min/ω. Smaller L_in required — recalculate on main sheet after updating Ciss to N×Ciss_single.</t>
  </si>
  <si>
    <t xml:space="preserve">⚠ For large N (≥4), L_in becomes very small. Verify with LTspice. Update Ciss cell on main sheet to N×Ciss for correct L_in and input matching calculation.</t>
  </si>
  <si>
    <t xml:space="preserve">LPF Component Values  (L1, C2, L3, C4, L5)</t>
  </si>
  <si>
    <t xml:space="preserve">Z_source = R_opt</t>
  </si>
  <si>
    <t xml:space="preserve">Z_source = R_opt/N</t>
  </si>
  <si>
    <t xml:space="preserve">Recalculate</t>
  </si>
  <si>
    <t xml:space="preserve">If using direct-drain LPF: recompute with Z_source = R_opt/N. If using L-network + 50Ω LPF: update main sheet P_out = N×P₀; the L-network recalculates automatically for new R_opt/N → 50Ω. The 50Ω LPF section is reused without modification.</t>
  </si>
  <si>
    <t xml:space="preserve">ℹ Recommended for N≥2: use L-network approach. The L-network automatically handles the R_opt/N→50Ω impedance transformation change.</t>
  </si>
  <si>
    <t xml:space="preserve">Thermal dissipation per device</t>
  </si>
  <si>
    <t xml:space="preserve">P_diss total</t>
  </si>
  <si>
    <t xml:space="preserve">P_diss / N</t>
  </si>
  <si>
    <t xml:space="preserve">Total dissipation is fixed by efficiency. Each device runs N× cooler. θ_JA requirement per device is relaxed ×N — often eliminates need for heatsinks at N≥2.</t>
  </si>
  <si>
    <t xml:space="preserve">✅ Dominant practical benefit for QRP. Small SOT-23/TO-92 devices viable at higher power.</t>
  </si>
  <si>
    <t xml:space="preserve">POWER &amp; COMPONENT SCALING TABLE  (theoretical, N = 1 through 8 MOSFETs in parallel)</t>
  </si>
  <si>
    <t xml:space="preserve">⚠ IMPORTANT: Values below are THEORETICAL (ideal parallel scaling). Real-world power gain ≈ 85–95% of theoretical due to gate drive losses (N×Ciss charging at HF), PCB trace parasitics, component tolerances, and layout inductance between parallel devices. Always simulate in LTspice with N parallel MOSFET SPICE models before building for N≥3. After selecting N, update main sheet: set P_out = N × P_out_original, Ciss = N × Ciss_single, then press F9.</t>
  </si>
  <si>
    <t xml:space="preserve">N = 1</t>
  </si>
  <si>
    <t xml:space="preserve">N = 2</t>
  </si>
  <si>
    <t xml:space="preserve">N = 3</t>
  </si>
  <si>
    <t xml:space="preserve">N = 4</t>
  </si>
  <si>
    <t xml:space="preserve">N = 6</t>
  </si>
  <si>
    <t xml:space="preserve">N = 8</t>
  </si>
  <si>
    <t xml:space="preserve">Unit / Notes</t>
  </si>
  <si>
    <t xml:space="preserve">POWER &amp; CURRENT</t>
  </si>
  <si>
    <t xml:space="preserve">Theoretical P_out(N)  [W]</t>
  </si>
  <si>
    <t xml:space="preserve">W — theoretical ideal</t>
  </si>
  <si>
    <t xml:space="preserve">Realistic P_out(N)  ×0.90 derating  [W]</t>
  </si>
  <si>
    <t xml:space="preserve">W — realistic (−10% for layout/gate losses)</t>
  </si>
  <si>
    <t xml:space="preserve">Power gain vs N=1  [×]</t>
  </si>
  <si>
    <t xml:space="preserve">× — linear multiplier</t>
  </si>
  <si>
    <t xml:space="preserve">Power gain vs N=1  [dB]</t>
  </si>
  <si>
    <t xml:space="preserve">dBW relative to N=1</t>
  </si>
  <si>
    <t xml:space="preserve">Total DC input power  P_dc(N)  [W]</t>
  </si>
  <si>
    <t xml:space="preserve">W — total from supply</t>
  </si>
  <si>
    <t xml:space="preserve">Total dissipation  P_diss(N)  [W]</t>
  </si>
  <si>
    <t xml:space="preserve">W — total heat generated</t>
  </si>
  <si>
    <t xml:space="preserve">P_diss per MOSFET  [W]</t>
  </si>
  <si>
    <t xml:space="preserve">W — per device (= single-device dissipation)</t>
  </si>
  <si>
    <t xml:space="preserve">I_dc per MOSFET  [A]</t>
  </si>
  <si>
    <t xml:space="preserve">A — unchanged per device</t>
  </si>
  <si>
    <t xml:space="preserve">I_dc total  N×I_dc  [A]</t>
  </si>
  <si>
    <t xml:space="preserve">A — total from supply rail</t>
  </si>
  <si>
    <t xml:space="preserve">Peak drain current per MOSFET  I_pk  [A]</t>
  </si>
  <si>
    <t xml:space="preserve">A — unchanged per device (Raab 1977)</t>
  </si>
  <si>
    <t xml:space="preserve">LOAD NETWORK COMPONENTS</t>
  </si>
  <si>
    <t xml:space="preserve">R_opt(N)  [Ω]</t>
  </si>
  <si>
    <t xml:space="preserve">Ω — optimum drain load resistance</t>
  </si>
  <si>
    <t xml:space="preserve">C1 total(N)  [pF]  (= N × C1_single)</t>
  </si>
  <si>
    <t xml:space="preserve">pF — total shunt cap including N×Coss</t>
  </si>
  <si>
    <t xml:space="preserve">N × Coss_eff  (auto-contributes to C1)  [pF]</t>
  </si>
  <si>
    <t xml:space="preserve">pF — Coss contribution to C1 from N devices</t>
  </si>
  <si>
    <t xml:space="preserve">C1_external required  [pF]  = MAX(0, C1_total − N×Coss_eff)</t>
  </si>
  <si>
    <t xml:space="preserve">pF — external cap to add (0 = Coss fills C1 completely)</t>
  </si>
  <si>
    <t xml:space="preserve">L2  Series Resonant Inductor(N)  [µH]</t>
  </si>
  <si>
    <t xml:space="preserve">µH — wind on T50-6 or T68-6 toroid</t>
  </si>
  <si>
    <t xml:space="preserve">C2  Series Resonant Capacitor(N)  [pF]</t>
  </si>
  <si>
    <t xml:space="preserve">pF — NP0/C0G or silver-mica</t>
  </si>
  <si>
    <t xml:space="preserve">RFC  Choke(N)  [µH]  (⚠ verify saturation at N×I_dc)</t>
  </si>
  <si>
    <t xml:space="preserve">µH — smaller inductance but higher current; use larger core</t>
  </si>
  <si>
    <t xml:space="preserve">VOLTAGE &amp; SAFETY  (unchanged for all N)</t>
  </si>
  <si>
    <t xml:space="preserve">Peak Drain Voltage  V_pk  [V]  (unchanged for all N)</t>
  </si>
  <si>
    <t xml:space="preserve">V — set by Vcc only; same MOSFET works for all N</t>
  </si>
  <si>
    <t xml:space="preserve">V_DSS required  (with safety margin)  [V]  (unchanged)</t>
  </si>
  <si>
    <t xml:space="preserve">V — identical requirement for N=1 through N=8</t>
  </si>
  <si>
    <t xml:space="preserve">GATE DRIVE REQUIREMENTS  (⚠ most critical challenge at HF)</t>
  </si>
  <si>
    <t xml:space="preserve">Total gate capacitance  N×Ciss  [pF]</t>
  </si>
  <si>
    <t xml:space="preserve">pF — total seen by driver</t>
  </si>
  <si>
    <t xml:space="preserve">Gate RC time constant  τ = 10Ω × N×Ciss  [ns]  (R_gate=10Ω assumed)</t>
  </si>
  <si>
    <t xml:space="preserve">ns — charging time constant with 10Ω gate R</t>
  </si>
  <si>
    <t xml:space="preserve">τ / T  (fraction of period)  [%]  — must be &lt; 5%</t>
  </si>
  <si>
    <t xml:space="preserve">% — must be &lt; 5% for clean switching</t>
  </si>
  <si>
    <t xml:space="preserve">Max R_gate per device for τ/T &lt; 5%  [Ω]</t>
  </si>
  <si>
    <t xml:space="preserve">Ω — maximum total gate resistance</t>
  </si>
  <si>
    <t xml:space="preserve">Recommended individual R_gate per device  [Ω]  (≥3Ω always)</t>
  </si>
  <si>
    <t xml:space="preserve">Ω — balance: damp oscillation vs switching speed</t>
  </si>
  <si>
    <t xml:space="preserve">Input matching L_in  for N×Ciss  [µH]  (resonates gate capacitance)</t>
  </si>
  <si>
    <t xml:space="preserve">µH — recalculate on main sheet with Ciss = N×Ciss_single</t>
  </si>
  <si>
    <t xml:space="preserve">Gate drive feasibility check  (τ/T &lt; 5%?)</t>
  </si>
  <si>
    <t xml:space="preserve">74HC04 limit ≈ N=1 for BS170; TC4420 for N=2–4; TC4452/UCC27524 for N≥4</t>
  </si>
  <si>
    <t xml:space="preserve">SUMMARY</t>
  </si>
  <si>
    <t xml:space="preserve">RFC saturation check  (approx.)</t>
  </si>
  <si>
    <t xml:space="preserve">I_dc × N vs typical ferrite choke saturation limits</t>
  </si>
  <si>
    <t xml:space="preserve">Overall recommendation</t>
  </si>
  <si>
    <t xml:space="preserve">layout and driver complexity guidance</t>
  </si>
  <si>
    <t xml:space="preserve">STEP-BY-STEP MODIFICATION PROCEDURE</t>
  </si>
  <si>
    <t xml:space="preserve">Step</t>
  </si>
  <si>
    <t xml:space="preserve">Action</t>
  </si>
  <si>
    <t xml:space="preserve">Detail / Verification</t>
  </si>
  <si>
    <t xml:space="preserve">Step 1</t>
  </si>
  <si>
    <t xml:space="preserve">Choose N and verify device ratings</t>
  </si>
  <si>
    <t xml:space="preserve">V_DSS unchanged (same device works). I_D(cont) ≥ I_dc_per_device (unchanged). I_D(pulsed) ≥ 2.862×I_dc (unchanged). For BS170 at P_out=0.4W: I_pk=0.30A, I_D=0.5A — OK for all N.</t>
  </si>
  <si>
    <t xml:space="preserve">Step 2</t>
  </si>
  <si>
    <t xml:space="preserve">Update main sheet: change P_out to N × P_out_original</t>
  </si>
  <si>
    <t xml:space="preserve">Keep Vcc fixed. Sokal eq.6 then automatically yields R_opt/N. Press F9 until η (cell C88) converges. All component values (C1, L2, C2, RFC) update automatically.</t>
  </si>
  <si>
    <t xml:space="preserve">Step 3</t>
  </si>
  <si>
    <t xml:space="preserve">Update Ciss on main sheet: change C27 to N × Ciss_single</t>
  </si>
  <si>
    <t xml:space="preserve">This recalculates L_in (input matching inductor) and gate RC time constant. Verify τ/T = R_gate × N×Ciss × f &lt; 5% using Section 4 table above.</t>
  </si>
  <si>
    <t xml:space="preserve">Step 4</t>
  </si>
  <si>
    <t xml:space="preserve">Read C1_ext from Section 4 table</t>
  </si>
  <si>
    <t xml:space="preserve">If C1_ext = 0 → N×Coss fills C1 completely (no external cap needed). If C1_ext &gt; 0 → add that value as external capacitor(s), distributed across device drains. Use NP0/C0G or silver-mica rated ≥ 2×V_pk.</t>
  </si>
  <si>
    <t xml:space="preserve">Step 5</t>
  </si>
  <si>
    <t xml:space="preserve">Wind new L2 (÷N µH) and verify/resize RFC</t>
  </si>
  <si>
    <t xml:space="preserve">L2 shrinks ÷N — fewer turns on same toroid, or smaller core. Measure with LCR meter at operating frequency. RFC: compute new inductance (÷N µH) but must carry N×I_dc. Use larger core (T68-6 → T106-2 for N=4). Check SRF &gt; 10×f with VNA.</t>
  </si>
  <si>
    <t xml:space="preserve">Step 6</t>
  </si>
  <si>
    <t xml:space="preserve">Select gate driver IC based on N×Q_g×f peak current</t>
  </si>
  <si>
    <t xml:space="preserve">N=1: 74HC04 adequate for BS170/2N7000 at ≤14 MHz.
N=2: TC4420 (6A peak) or equivalent.
N=3–4: TC4452 (12A) or MCP1407.
N≥5: UCC27524, IXDN609, or gate transformer (1:1 ferrite bifilar for symmetry).</t>
  </si>
  <si>
    <t xml:space="preserve">Step 7</t>
  </si>
  <si>
    <t xml:space="preserve">Layout: equal-length gate traces, star topology, individual R_gate</t>
  </si>
  <si>
    <t xml:space="preserve">All gate traces must be identical length. Source connections: individual Kelvin vias per device. Use individual R_gate (3–10 Ω) at each gate pin + common R at driver output (NXP AN11599 split method). Place C1 capacitor(s) directly at drain junction.</t>
  </si>
  <si>
    <t xml:space="preserve">Step 8</t>
  </si>
  <si>
    <t xml:space="preserve">LTspice simulation before building</t>
  </si>
  <si>
    <t xml:space="preserve">Use N parallel MOSFET SPICE models (LTspice library includes BS170, IRF510, etc.). Verify ZVS waveforms on all drain pins simultaneously. Check for parasitic oscillation between parallel gate-source loops. Confirm efficiency and output power match theoretical predictions within 10%.</t>
  </si>
  <si>
    <t xml:space="preserve">GATE DRIVER SELECTION &amp; PCB LAYOUT NOTES</t>
  </si>
  <si>
    <t xml:space="preserve">Value / Rule</t>
  </si>
  <si>
    <t xml:space="preserve">Gate driver minimum peak current  [A]  = N × Q_g × f</t>
  </si>
  <si>
    <t xml:space="preserve">N=1 BS170 @14MHz: 0.028A
N=4 BS170 @14MHz: 0.112A
N=4 IRF510 @14MHz: 0.756A</t>
  </si>
  <si>
    <t xml:space="preserve">Q_g = Ciss × V_gs_swing. At 14MHz, Q_g ≈ Ciss(pF) × 10V × 1e-12 A·s. Choose driver with I_peak ≥ 3× calculated minimum for margin.</t>
  </si>
  <si>
    <t xml:space="preserve">Split gate resistor topology  (NXP AN11599)</t>
  </si>
  <si>
    <t xml:space="preserve">R_common(3–10Ω) at driver + R_individual(3–10Ω) at each gate pin</t>
  </si>
  <si>
    <t xml:space="preserve">Individual resistors prevent Miller plateau clamping between devices during switching transitions. Common resistor sets overall switching speed. Ratio: R_individual ≈ R_common for balanced damping. Never use zero-ohm connections between parallel gates.</t>
  </si>
  <si>
    <t xml:space="preserve">PCB trace length matching</t>
  </si>
  <si>
    <t xml:space="preserve">All gate traces must be equal length ± 2mm</t>
  </si>
  <si>
    <t xml:space="preserve">At 14MHz, 5mm trace length difference = 0.08ns delay = negligible. At 50MHz: 5mm = 0.3ns = significant imbalance. Use star topology from driver IC to each gate resistor equidistantly.</t>
  </si>
  <si>
    <t xml:space="preserve">Source Kelvin connection</t>
  </si>
  <si>
    <t xml:space="preserve">Individual via directly under source pin of each device to ground plane</t>
  </si>
  <si>
    <t xml:space="preserve">Shared source return trace creates common-source inductance that causes spurious oscillation between parallel devices. 5nH source inductance = 0.44Ω at 14MHz — causes current imbalance and ringing.</t>
  </si>
  <si>
    <t xml:space="preserve">C1 placement</t>
  </si>
  <si>
    <t xml:space="preserve">Capacitor(s) placed directly at drain bus junction, distributed one per device</t>
  </si>
  <si>
    <t xml:space="preserve">With N parallel devices, use N smaller capacitors (C1_ext/N each) placed one at each device drain. This minimizes drain bus inductance and ensures equal capacitive loading per device. Total = N × (C1_ext/N) = C1_ext.</t>
  </si>
  <si>
    <t xml:space="preserve">Thermal design</t>
  </si>
  <si>
    <t xml:space="preserve">No heatsink required per device for P_diss/N &lt; 0.3W (TO-92)</t>
  </si>
  <si>
    <t xml:space="preserve">BS170 TO-92: θ_JA ≈ 200°C/W free-air. At N=4, P_diss/device ≈ 0.033W → ΔT = 6.6°C. IRF510 TO-220 free-air θ_JA ≈ 62°C/W. At N=4, verify P_diss/device × θ_JA &lt; T_j_max − T_amb. For N≥4 with higher-power devices, a single shared heatsink plate (copper PCB pour) is sufficient.</t>
  </si>
  <si>
    <t xml:space="preserve">LPF DIRECT-COUPLED TO DRAIN  (Z_source = R_opt)</t>
  </si>
  <si>
    <t xml:space="preserve">Correct 5-element Chebyshev LPF designed at R_opt (actual Class-E drain impedance) as source. Based on Sokal/Raab equations and Williams &amp; Taylor "Electronic Filter Design Handbook".</t>
  </si>
  <si>
    <t xml:space="preserve">⚠ WHY THE 50Ω LPF IS WRONG FOR DIRECT DRAIN CONNECTION — A Class-E drain presents R_opt (not 50Ω) as its load. A Chebyshev LPF designed for 50Ω source gives WRONG component values: the source-side shunt cap C2 must use R_opt in its formula C=g/(R_opt×ωc), not 50Ω. Using 50Ω makes C2 ≈2× too small, losing 10–20 dB of harmonic rejection at 2f. This sheet computes the correct asymmetric LPF with Z_source=R_opt and Z_load=50Ω. For large impedance ratios (n=Z_load/R_opt &gt; 1.5) an L-network before a symmetric 50Ω LPF (main sheet) is also valid.</t>
  </si>
  <si>
    <t xml:space="preserve">LINKED PARAMETERS  (from Class-E Calculator sheet)</t>
  </si>
  <si>
    <t xml:space="preserve">Fundamental — imported from main sheet C18.</t>
  </si>
  <si>
    <t xml:space="preserve">Optimum Load Resistance  R_opt  (Sokal eq.6 — actual drain load)</t>
  </si>
  <si>
    <t xml:space="preserve">R_opt is the real Class-E drain load impedance. This is the CORRECT LPF source impedance when the LPF is directly connected to the drain (no L-network). Typical: 5–50 Ω for HF QRP.</t>
  </si>
  <si>
    <t xml:space="preserve">Load Impedance  Z_load  (antenna / output)</t>
  </si>
  <si>
    <t xml:space="preserve">Typically 50 Ω antenna. Change in main sheet C25.</t>
  </si>
  <si>
    <t xml:space="preserve">Used for V_pk and capacitor voltage-rating check.</t>
  </si>
  <si>
    <t xml:space="preserve">Used for inductor RMS current rating.</t>
  </si>
  <si>
    <t xml:space="preserve">fc=1.40×f keeps fundamental ≤0.1 dB insertion loss in passband. For narrowband or VHF use 1.2×f.</t>
  </si>
  <si>
    <t xml:space="preserve">Impedance Ratio  n = Z_load / R_opt  (step-up)</t>
  </si>
  <si>
    <t xml:space="preserve">n&gt;1 means step-up (R_opt &lt; 50Ω, typical Class-E). n=1 → symmetric Chebyshev (Z0_eff = 50Ω). Shunt-C toward source uses R_opt; shunt-C toward load uses Z_load.</t>
  </si>
  <si>
    <t xml:space="preserve">Z0_eff = √(R_opt × Z_load)  — geometric-mean reference impedance</t>
  </si>
  <si>
    <t xml:space="preserve">Z0_eff = √(R_opt × Z_load). Used to scale all series-L values in the asymmetric ladder. Shunt caps are scaled independently: C_source-side with R_opt, C_load-side with Z_load. (Williams &amp; Taylor, Electronic Filter Design Handbook, 4th ed., §11.2)</t>
  </si>
  <si>
    <t xml:space="preserve">Peak Drain Voltage  V_pk ≈ 3.562 × Vcc  (capacitor voltage-rating reference)</t>
  </si>
  <si>
    <t xml:space="preserve">All LPF capacitors must be rated ≥ 2× V_pk. V_pk = MAX(3.562×(Vcc−ΔV−Vo)+Vo, 3.562×(Vcc−Vo)+Vo). [FIXED: Uses MAX to ensure capacitor voltage rating is never reduced by supply droop ΔV — the drain RF voltage swing is decoupled from DC supply droop by the RFC choke. Using the higher no-droop V_pk conservatively protects LPF capacitors.] Use NP0/C0G or silver-mica ≥100 V for HF QRP.</t>
  </si>
  <si>
    <t xml:space="preserve">RMS Output Current  I_rms = √(P_out / Z_load)  (inductor wire-gauge reference)</t>
  </si>
  <si>
    <t xml:space="preserve">Series inductors L1, L3, L5 carry this current. Min wire: 24 AWG ≤0.5A, 22 AWG ≤1A, 20 AWG ≤2A, 18 AWG ≤3A, 16 AWG ≤5A.</t>
  </si>
  <si>
    <t xml:space="preserve">LPF COMPONENT VALUES  (5-element Chebyshev 0.1 dB, Z_source=R_opt → Z_load=50Ω)</t>
  </si>
  <si>
    <t xml:space="preserve">LPF L1  (series, 5-el Chebyshev 0.1 dB: g1=1.1468)  — drain-side series inductor</t>
  </si>
  <si>
    <t xml:space="preserve">L1 = g1 × Z0_eff / ωc. First series inductor from drain node. Wind on T50-6 or T68-6; verify SRF &gt; 10×f.</t>
  </si>
  <si>
    <t xml:space="preserve">LPF C2  (shunt to GND, 5-el Chebyshev 0.1 dB: g2=1.3712)  — source-side shunt cap</t>
  </si>
  <si>
    <t xml:space="preserve">⚠ C2 = g2/(R_opt×ωc) uses R_opt (not 50Ω) as source impedance. This is the shunt cap closest to the drain. Use NP0/C0G or silver-mica rated ≥2× V_pk.</t>
  </si>
  <si>
    <t xml:space="preserve">LPF L3  (series, 5-el Chebyshev 0.1 dB: g3=1.9750)  — centre series inductor</t>
  </si>
  <si>
    <t xml:space="preserve">L3 = g3 × Z0_eff / ωc. Largest series inductor; centre of the ladder. Wind on T50-6 or T68-6.</t>
  </si>
  <si>
    <t xml:space="preserve">LPF C4  (shunt to GND, 5-el Chebyshev 0.1 dB: g4=1.3712)  — load-side shunt cap</t>
  </si>
  <si>
    <t xml:space="preserve">C4 = g4/(Z_load×ωc) uses Z_load=50Ω. Note C4 ≠ C2 (asymmetric terminations). Place close to the antenna connector. NP0/C0G or silver-mica.</t>
  </si>
  <si>
    <t xml:space="preserve">LPF L5  (series, 5-el Chebyshev 0.1 dB: g5=1.1468)  — antenna-side series inductor</t>
  </si>
  <si>
    <t xml:space="preserve">L5 = g5 × Z0_eff / ωc. By symmetry L5=L1. Output series inductor toward antenna/load. L1=L5 always (symmetric g1=g5); only C2≠C4 due to unequal terminations.</t>
  </si>
  <si>
    <t xml:space="preserve">Attenuation at 2nd harmonic (2f)  ⚠ UPPER BOUND — symmetric formula used; actual can be 10–20 dB lower for n≠1</t>
  </si>
  <si>
    <t xml:space="preserve">Attenuation at 3rd harmonic (3f)  ⚠ UPPER BOUND — symmetric formula used; actual can be 10–20 dB lower for n≠1</t>
  </si>
  <si>
    <t xml:space="preserve">LPF DIRECT-COUPLED TO DRAIN  (7-pole, Z_source = R_opt)</t>
  </si>
  <si>
    <t xml:space="preserve">Correct 7-element Chebyshev LPF designed at R_opt (actual Class-E drain impedance) as source. Based on Sokal/Raab equations and Williams &amp; Taylor "Electronic Filter Design Handbook". Seven poles provide ≥14 dB additional stopband rejection vs. the 5-pole design, targeting −65 dBc or better at 2f.</t>
  </si>
  <si>
    <t xml:space="preserve">⚠ WHY THE 50Ω LPF IS WRONG FOR DIRECT DRAIN CONNECTION — A Class-E drain presents R_opt (not 50Ω) as its load. A Chebyshev LPF designed for 50Ω source gives WRONG component values: the source-side shunt cap C2 must use R_opt in its formula C=g/(R_opt×ωc), not 50Ω. Using 50Ω makes C2 ≈2× too small, losing 10–20 dB of harmonic rejection at 2f. This sheet computes the correct asymmetric 7-pole LPF with Z_source=R_opt and Z_load=50Ω. For large impedance ratios (n=Z_load/R_opt &gt; 1.5) an L-network before a symmetric 50Ω LPF (main sheet) is also valid.</t>
  </si>
  <si>
    <t xml:space="preserve">n&gt;1 means step-up (R_opt &lt; 50Ω, typical Class-E). n=1 → symmetric Chebyshev (Z0_eff = 50Ω). Shunt-C toward source uses R_opt; centre shunt-C uses Z0_eff; shunt-C toward load uses Z_load.</t>
  </si>
  <si>
    <t xml:space="preserve">Z0_eff = √(R_opt × Z_load). Used to scale all series-L values. Shunt caps: C2 with R_opt, C4 with Z0_eff, C6 with Z_load. (Williams &amp; Taylor, Electronic Filter Design Handbook, 4th ed., §11.2)</t>
  </si>
  <si>
    <t xml:space="preserve">Series inductors L1, L3, L5, L7 carry this current. Min wire: 24 AWG ≤0.5A, 22 AWG ≤1A, 20 AWG ≤2A, 18 AWG ≤3A, 16 AWG ≤5A.</t>
  </si>
  <si>
    <t xml:space="preserve">LPF COMPONENT VALUES  (7-element Chebyshev 0.1 dB, Z_source=R_opt → Z_load=50Ω)</t>
  </si>
  <si>
    <t xml:space="preserve">LPF L1  (series, 7-el Chebyshev 0.1 dB: g1=1.1812)  — drain-side series inductor</t>
  </si>
  <si>
    <t xml:space="preserve">LPF C2  (shunt to GND, 7-el Chebyshev 0.1 dB: g2=1.4228)  — source-side shunt cap</t>
  </si>
  <si>
    <t xml:space="preserve">LPF L3  (series, 7-el Chebyshev 0.1 dB: g3=2.0967)  — second series inductor</t>
  </si>
  <si>
    <t xml:space="preserve">L3 = g3 × Z0_eff / ωc. Second series inductor in the ladder. Wind on T50-6 or T68-6.</t>
  </si>
  <si>
    <t xml:space="preserve">LPF C4  (shunt to GND, 7-el Chebyshev 0.1 dB: g4=1.5734)  — centre shunt cap</t>
  </si>
  <si>
    <t xml:space="preserve">C4 = g4/(Z0_eff×ωc) uses Z0_eff=√(R_opt×Z_load) as the reference impedance for the centre shunt capacitor. [CORRECTED: Previous version incorrectly used R_opt, over-sizing C4 by up to 24% for typical n=1.55 and degrading 2f stopband rejection by 3–7 dB. The correct asymmetric ladder formula (Williams &amp; Taylor, Electronic Filter Design Handbook, §11.2) uses Z0_eff for the centre element, R_opt for the source-side cap (C2), and Z_load for the load-side cap (C6).] NP0/C0G or silver-mica; rated ≥2× V_pk. Verify final design with LTspice.</t>
  </si>
  <si>
    <t xml:space="preserve">LPF L5  (series, 7-el Chebyshev 0.1 dB: g5=2.0967)  — third series inductor</t>
  </si>
  <si>
    <t xml:space="preserve">L5 = g5 × Z0_eff / ωc. Third series inductor. By symmetry L5=L3. Wind on T50-6 or T68-6.</t>
  </si>
  <si>
    <t xml:space="preserve">LPF C6  (shunt to GND, 7-el Chebyshev 0.1 dB: g6=1.4228)  — load-side shunt cap</t>
  </si>
  <si>
    <t xml:space="preserve">C6 = g6/(Z_load×ωc) uses Z_load=50Ω. Note C6 ≠ C2 ≠ C4 (asymmetric terminations). Place close to the antenna connector. NP0/C0G or silver-mica.</t>
  </si>
  <si>
    <t xml:space="preserve">LPF C6  [pF]</t>
  </si>
  <si>
    <t xml:space="preserve">LPF L7  (series, 7-el Chebyshev 0.1 dB: g7=1.1812)  — antenna-side series inductor</t>
  </si>
  <si>
    <t xml:space="preserve">L7 = g7 × Z0_eff / ωc. By symmetry L7=L1. Output series inductor toward antenna/load. L1=L7 always (symmetric g1=g7 for odd-order Chebyshev).</t>
  </si>
  <si>
    <t xml:space="preserve">LPF L7  [µH]</t>
  </si>
  <si>
    <t xml:space="preserve">CLASS-E RF AMPLIFIER  ·  5-POLE CHEBYSHEV LPF  (Direct Drain)</t>
  </si>
  <si>
    <t xml:space="preserve">Correct 5-element Chebyshev LPF (0.1 dB ripple) · Z_source = R_opt · Z_load = 50 Ω</t>
  </si>
  <si>
    <t xml:space="preserve">                                                                                                                          </t>
  </si>
  <si>
    <t xml:space="preserve">  POWER SUPPLY &amp; RFC CHOKE                                                                                               </t>
  </si>
  <si>
    <t xml:space="preserve">   +Vcc                                                                                                                   </t>
  </si>
  <si>
    <t xml:space="preserve">     |                                                                                                                    </t>
  </si>
  <si>
    <t xml:space="preserve">   [RFC]  &lt;── RF choke, isolates DC from RF                                                                              </t>
  </si>
  <si>
    <t xml:space="preserve">     +───DRAIN───(NET)                        </t>
  </si>
  <si>
    <t xml:space="preserve">     |</t>
  </si>
  <si>
    <t xml:space="preserve">  [MOSFET]───SOURCE───GND</t>
  </si>
  <si>
    <t xml:space="preserve"> Gate (RF)</t>
  </si>
  <si>
    <t xml:space="preserve">            SERIES NETWORK         5-POLE CHEBYSHEV LPF </t>
  </si>
  <si>
    <t xml:space="preserve">           ───────────────     ────────────────────────────</t>
  </si>
  <si>
    <t xml:space="preserve">             L2       C2       LPF-L1     LPF-L3     LPF-L5 </t>
  </si>
  <si>
    <t xml:space="preserve">(NET)───+───LLLL──────||────────LLLL───+───LLLL───+───LLLL──────────(ANT)                    </t>
  </si>
  <si>
    <t xml:space="preserve">        |                              |          |                  50Ω                          </t>
  </si>
  <si>
    <t xml:space="preserve">       [C1] &lt;── shunt cap          LPF-C2sh   LPF-C4sh</t>
  </si>
  <si>
    <t xml:space="preserve">        |      drain-to-GND            |          |</t>
  </si>
  <si>
    <t xml:space="preserve">       GND                            GND        GND</t>
  </si>
  <si>
    <t xml:space="preserve">  NOTES:                                                                                                                  </t>
  </si>
  <si>
    <t xml:space="preserve">  · C1 total = Coss_eff + C1_ext  (subtract MOSFET Coss from table value to get external cap)                           </t>
  </si>
  <si>
    <t xml:space="preserve">  · L2-C2 form the series resonant tank; L_ser (informational) is built into L2 by design                               </t>
  </si>
  <si>
    <t xml:space="preserve">  · LPF C2 uses R_opt as source impedance (NOT 50Ω); see LPF Direct 5-poles sheet for derivation                       </t>
  </si>
  <si>
    <t xml:space="preserve">  · LPF C4 uses Z_load = 50 Ω as load impedance (asymmetric terminations)                                               </t>
  </si>
  <si>
    <t xml:space="preserve">  · All capacitors: NP0/C0G ceramic or silver-mica rated ≥ 2 × Vpk                                                      </t>
  </si>
  <si>
    <t xml:space="preserve">  · All inductors: verify SRF &gt; 10 × operating frequency                                                                 </t>
  </si>
  <si>
    <t xml:space="preserve">  · Verify full design with LTspice before regulatory submission                                                          </t>
  </si>
  <si>
    <t xml:space="preserve">COMPONENT VALUES  (5% Standard — linked from calculated sheets)</t>
  </si>
  <si>
    <t xml:space="preserve">Ref</t>
  </si>
  <si>
    <t xml:space="preserve">Description</t>
  </si>
  <si>
    <t xml:space="preserve">Source sheet / note</t>
  </si>
  <si>
    <t xml:space="preserve">RFC</t>
  </si>
  <si>
    <t xml:space="preserve">RF Choke (≥50·R/ω)</t>
  </si>
  <si>
    <t xml:space="preserve">Class-E Calculator  E55</t>
  </si>
  <si>
    <t xml:space="preserve">C1</t>
  </si>
  <si>
    <t xml:space="preserve">Shunt cap  drain-to-GND (total)</t>
  </si>
  <si>
    <t xml:space="preserve">Class-E Calculator  E49  (incl. Coss_eff)</t>
  </si>
  <si>
    <t xml:space="preserve">L2</t>
  </si>
  <si>
    <t xml:space="preserve">Series resonant inductor</t>
  </si>
  <si>
    <t xml:space="preserve">Class-E Calculator  E51</t>
  </si>
  <si>
    <t xml:space="preserve">C2</t>
  </si>
  <si>
    <t xml:space="preserve">Series resonant capacitor</t>
  </si>
  <si>
    <t xml:space="preserve">Class-E Calculator  E53</t>
  </si>
  <si>
    <t xml:space="preserve">LPF-L1</t>
  </si>
  <si>
    <t xml:space="preserve">LPF series inductor (drain side)</t>
  </si>
  <si>
    <t xml:space="preserve">LPF Direct 5-poles  E29</t>
  </si>
  <si>
    <t xml:space="preserve">LPF-C2</t>
  </si>
  <si>
    <t xml:space="preserve">LPF shunt cap (source side, R_opt)</t>
  </si>
  <si>
    <t xml:space="preserve">LPF Direct 5-poles  E31</t>
  </si>
  <si>
    <t xml:space="preserve">LPF-L3</t>
  </si>
  <si>
    <t xml:space="preserve">LPF centre series inductor</t>
  </si>
  <si>
    <t xml:space="preserve">LPF Direct 5-poles  E33</t>
  </si>
  <si>
    <t xml:space="preserve">LPF-C4</t>
  </si>
  <si>
    <t xml:space="preserve">LPF shunt cap (load side, 50Ω)</t>
  </si>
  <si>
    <t xml:space="preserve">LPF Direct 5-poles  E35</t>
  </si>
  <si>
    <t xml:space="preserve">LPF-L5</t>
  </si>
  <si>
    <t xml:space="preserve">LPF series inductor (antenna side)</t>
  </si>
  <si>
    <t xml:space="preserve">LPF Direct 5-poles  E37</t>
  </si>
  <si>
    <t xml:space="preserve">LINKED PARAMETERS  (from Class-E Calculator)</t>
  </si>
  <si>
    <t xml:space="preserve">R_opt (Class-E drain load)</t>
  </si>
  <si>
    <t xml:space="preserve">Supply Voltage Vcc</t>
  </si>
  <si>
    <t xml:space="preserve">Output Power P_out</t>
  </si>
  <si>
    <t xml:space="preserve">LPF Cutoff fc = 1.40 × f</t>
  </si>
  <si>
    <t xml:space="preserve">Atten. @ 2f (upper bound)</t>
  </si>
  <si>
    <t xml:space="preserve">Atten. @ 3f (upper bound)</t>
  </si>
  <si>
    <t xml:space="preserve">CLASS-E RF AMPLIFIER  ·  7-POLE CHEBYSHEV LPF  (Direct Drain)</t>
  </si>
  <si>
    <t xml:space="preserve">Correct 7-element Chebyshev LPF (0.1 dB ripple) · Z_source = R_opt · Z_load = 50 Ω</t>
  </si>
  <si>
    <t xml:space="preserve">            SERIES NETWORK               7-POLE CHEBYSHEV LPF </t>
  </si>
  <si>
    <t xml:space="preserve">           ───────────────     ──────────────────────────────────────</t>
  </si>
  <si>
    <t xml:space="preserve">             L2       C2       LPF-L1     LPF-L3     LPF-L5     LPF-7</t>
  </si>
  <si>
    <t xml:space="preserve">(NET)───+───LLLL──────||────────LLLL───+───LLLL───+───LLLL───+───LLLL───────(ANT)                    </t>
  </si>
  <si>
    <t xml:space="preserve">        |                              |          |          |               50Ω                          </t>
  </si>
  <si>
    <t xml:space="preserve">       [C1] &lt;── shunt cap          LPF-C2sh   LPF-C4sh   LPF-C6sh</t>
  </si>
  <si>
    <t xml:space="preserve">        |      drain-to-GND            |          |          |</t>
  </si>
  <si>
    <t xml:space="preserve">       GND                            GND        GND        GND</t>
  </si>
  <si>
    <t xml:space="preserve">                                                                                                                                      </t>
  </si>
  <si>
    <t xml:space="preserve">  NOTES:                                                                                                                              </t>
  </si>
  <si>
    <t xml:space="preserve">  · 7-pole provides ~14 dB MORE rejection vs 5-pole at all harmonics — preferred for IARU/FCC compliance                             </t>
  </si>
  <si>
    <t xml:space="preserve">  · C1 total = Coss_eff + C1_ext  (subtract MOSFET Coss from table value to get external cap)                                       </t>
  </si>
  <si>
    <t xml:space="preserve">  · L2-C2 form the series resonant tank; L_ser (informational) is built into L2 by design                                           </t>
  </si>
  <si>
    <t xml:space="preserve">  · LPF C2 uses R_opt as source impedance; LPF C4 uses Z0_eff = √(R_opt×Z_load); LPF C6 uses Z_load = 50Ω                         </t>
  </si>
  <si>
    <t xml:space="preserve">  · ASYMMETRIC FILTER: n = Z_load/R_opt  determines capacitor scaling — see LPF Direct 7-pole sheet                                  </t>
  </si>
  <si>
    <t xml:space="preserve">  · All capacitors: NP0/C0G ceramic or silver-mica rated ≥ 2 × Vpk                                                                  </t>
  </si>
  <si>
    <t xml:space="preserve">  · All inductors: verify SRF &gt; 10 × operating frequency                                                                             </t>
  </si>
  <si>
    <t xml:space="preserve">  · Verify full design with LTspice before regulatory submission                                                                      </t>
  </si>
  <si>
    <t xml:space="preserve">LPF Direct 7-pole  E29</t>
  </si>
  <si>
    <t xml:space="preserve">LPF Direct 7-pole  E31</t>
  </si>
  <si>
    <t xml:space="preserve">LPF 2nd series inductor</t>
  </si>
  <si>
    <t xml:space="preserve">LPF Direct 7-pole  E33</t>
  </si>
  <si>
    <t xml:space="preserve">LPF centre shunt cap (Z0_eff)</t>
  </si>
  <si>
    <t xml:space="preserve">LPF Direct 7-pole  E35</t>
  </si>
  <si>
    <t xml:space="preserve">LPF 3rd series inductor</t>
  </si>
  <si>
    <t xml:space="preserve">LPF Direct 7-pole  E37</t>
  </si>
  <si>
    <t xml:space="preserve">LPF-C6</t>
  </si>
  <si>
    <t xml:space="preserve">LPF Direct 7-pole  E39</t>
  </si>
  <si>
    <t xml:space="preserve">LPF-L7</t>
  </si>
  <si>
    <t xml:space="preserve">LPF Direct 7-pole  E41</t>
  </si>
  <si>
    <t xml:space="preserve">All parameters are typical values from manufacturer datasheets.</t>
  </si>
  <si>
    <t xml:space="preserve">Part No.</t>
  </si>
  <si>
    <t xml:space="preserve">Package</t>
  </si>
  <si>
    <t xml:space="preserve">V_DSS
(V)</t>
  </si>
  <si>
    <t xml:space="preserve">I_D
(A)</t>
  </si>
  <si>
    <t xml:space="preserve">R_ds(on)
(Ω)</t>
  </si>
  <si>
    <t xml:space="preserve">C_iss
(pF)</t>
  </si>
  <si>
    <t xml:space="preserve">C_oss
(pF)</t>
  </si>
  <si>
    <t xml:space="preserve">P_D
(W)</t>
  </si>
  <si>
    <t xml:space="preserve">f_T
(MHz)</t>
  </si>
  <si>
    <t xml:space="preserve">Typical
P_RF (W)</t>
  </si>
  <si>
    <t xml:space="preserve">RF Freq
Range</t>
  </si>
  <si>
    <t xml:space="preserve">Applications &amp; Notes</t>
  </si>
  <si>
    <t xml:space="preserve">T_j max
(°C)</t>
  </si>
  <si>
    <t xml:space="preserve">V_gs(th)
(V)</t>
  </si>
  <si>
    <t xml:space="preserve">Coss Scale (Empirical. Use Coss,er from datasheet when available)</t>
  </si>
  <si>
    <t xml:space="preserve">Device
Type</t>
  </si>
  <si>
    <t xml:space="preserve">Rds_T_exp</t>
  </si>
  <si>
    <t xml:space="preserve">TO-92</t>
  </si>
  <si>
    <t xml:space="preserve">≤0.5</t>
  </si>
  <si>
    <t xml:space="preserve">HF ≤14 MHz</t>
  </si>
  <si>
    <t xml:space="preserve">QRP Class-E staple; WSPR &amp; CW beacons 160m–20m; small SOT-23 alt. also available</t>
  </si>
  <si>
    <t xml:space="preserve">0.8–2.4</t>
  </si>
  <si>
    <t xml:space="preserve">Si-planar</t>
  </si>
  <si>
    <t xml:space="preserve">2N7000</t>
  </si>
  <si>
    <t xml:space="preserve">≤0.3</t>
  </si>
  <si>
    <t xml:space="preserve">HF ≤7 MHz</t>
  </si>
  <si>
    <t xml:space="preserve">Similar to BS170; popular in micro-power QRP Class-E</t>
  </si>
  <si>
    <t xml:space="preserve">0.8–3.0</t>
  </si>
  <si>
    <t xml:space="preserve">IRF510</t>
  </si>
  <si>
    <t xml:space="preserve">TO-220</t>
  </si>
  <si>
    <t xml:space="preserve">5–30</t>
  </si>
  <si>
    <t xml:space="preserve">HF ≤18 MHz</t>
  </si>
  <si>
    <t xml:space="preserve">The classic ham MOSFET; cheap, available, used in thousands of QRP kits</t>
  </si>
  <si>
    <t xml:space="preserve">2.0–4.0</t>
  </si>
  <si>
    <t xml:space="preserve">Si-DMOS</t>
  </si>
  <si>
    <t xml:space="preserve">IRF520</t>
  </si>
  <si>
    <t xml:space="preserve">10–40</t>
  </si>
  <si>
    <t xml:space="preserve">Higher current IRF510; good 40–80m medium-power Class-E</t>
  </si>
  <si>
    <t xml:space="preserve">IRF530</t>
  </si>
  <si>
    <t xml:space="preserve">20–80</t>
  </si>
  <si>
    <t xml:space="preserve">HF ≤30 MHz</t>
  </si>
  <si>
    <t xml:space="preserve">Higher Coss but more power; push-pull Class-E to 80W, 80m–10m</t>
  </si>
  <si>
    <t xml:space="preserve">IRF540</t>
  </si>
  <si>
    <t xml:space="preserve">50–150</t>
  </si>
  <si>
    <t xml:space="preserve">HF ≤10 MHz</t>
  </si>
  <si>
    <t xml:space="preserve">High current; great 160m–40m; high Coss makes tuning more critical</t>
  </si>
  <si>
    <t xml:space="preserve">IRFZ44N</t>
  </si>
  <si>
    <t xml:space="preserve">50–200</t>
  </si>
  <si>
    <t xml:space="preserve">MF/LF ≤1 MHz</t>
  </si>
  <si>
    <t xml:space="preserve">Excellent VLF/MF/LF (136 kHz, 472 kHz) high-power Class-E; very low Rdson</t>
  </si>
  <si>
    <t xml:space="preserve">FQP13N10</t>
  </si>
  <si>
    <t xml:space="preserve">20–60</t>
  </si>
  <si>
    <t xml:space="preserve">Popular in QRP kits; alternative to IRF530; good HF performance</t>
  </si>
  <si>
    <t xml:space="preserve">RD16HVF1</t>
  </si>
  <si>
    <t xml:space="preserve">LDMOS SM</t>
  </si>
  <si>
    <t xml:space="preserve">16</t>
  </si>
  <si>
    <t xml:space="preserve">HF–VHF ≤175 MHz</t>
  </si>
  <si>
    <t xml:space="preserve">RF-optimised LDMOS; excellent 10m–40m Class-E; very low Coss advantage</t>
  </si>
  <si>
    <t xml:space="preserve">1.5–4.0</t>
  </si>
  <si>
    <t xml:space="preserve">LDMOS</t>
  </si>
  <si>
    <t xml:space="preserve">RD06HVF1</t>
  </si>
  <si>
    <t xml:space="preserve">6</t>
  </si>
  <si>
    <t xml:space="preserve">Lower power LDMOS; QRP Class-E to 50 MHz; clean spectrum</t>
  </si>
  <si>
    <t xml:space="preserve">BLF574</t>
  </si>
  <si>
    <t xml:space="preserve">SOT539</t>
  </si>
  <si>
    <t xml:space="preserve">300</t>
  </si>
  <si>
    <t xml:space="preserve">Professional LDMOS; very high efficiency; expensive but superb</t>
  </si>
  <si>
    <t xml:space="preserve">1.5–3.5</t>
  </si>
  <si>
    <t xml:space="preserve">IXFN55N50</t>
  </si>
  <si>
    <t xml:space="preserve">TO-264</t>
  </si>
  <si>
    <t xml:space="preserve">500+</t>
  </si>
  <si>
    <t xml:space="preserve">VLF/LF/MF</t>
  </si>
  <si>
    <t xml:space="preserve">500 V rated; handles &gt;10 kV peak drain; ideal for VLF/LF/MF (136 kHz, 472 kHz) high-power Class-E. fT=0 in table (no RF fT spec) — RF capability warning suppressed for VLF/LF designs (&lt;1 MHz).</t>
  </si>
  <si>
    <t xml:space="preserve">2SK2231</t>
  </si>
  <si>
    <t xml:space="preserve">10–20</t>
  </si>
  <si>
    <t xml:space="preserve">Japanese RF MOSFET; excellent 160m–80m Class-E; good efficiency</t>
  </si>
  <si>
    <t xml:space="preserve">1.0–3.0</t>
  </si>
  <si>
    <t xml:space="preserve">MRF101AN</t>
  </si>
  <si>
    <t xml:space="preserve">NI-780</t>
  </si>
  <si>
    <t xml:space="preserve">100</t>
  </si>
  <si>
    <t xml:space="preserve">NXP HF power LDMOS; designed for HF SSB/FM; excellent Class-E candidate. ⚠ I_D=10A in column D is the CONTINUOUS drain current rating; pulsed I_D(pulsed)=20A. Continuous I_pk (C84) must be ≤ 10A.</t>
  </si>
  <si>
    <t xml:space="preserve">IRFP250</t>
  </si>
  <si>
    <t xml:space="preserve">TO-247</t>
  </si>
  <si>
    <t xml:space="preserve">80–150</t>
  </si>
  <si>
    <t xml:space="preserve">200V rating gives headroom at high Vcc; popular in medium-power 160m–80m designs</t>
  </si>
  <si>
    <t xml:space="preserve">VN66AF</t>
  </si>
  <si>
    <t xml:space="preserve">TO-202</t>
  </si>
  <si>
    <t xml:space="preserve">2–5</t>
  </si>
  <si>
    <t xml:space="preserve">⚠ OBSOLETE (discontinued by Siliconix/Vishay ~2010). Old Siliconix RF MOSFET; used by Sokal in original Class-E papers up to 145 MHz. Replace with BS170, 2N7000, or BF862 for new designs.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</si>
</sst>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.0000"/>
    <numFmt numFmtId="166" formatCode="#"/>
    <numFmt numFmtId="167" formatCode="0"/>
    <numFmt numFmtId="168" formatCode="0.00"/>
  </numFmts>
  <fonts count="37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000000"/>
      <name val="Cantarell Light"/>
      <family val="0"/>
      <charset val="1"/>
    </font>
    <font>
      <b val="true"/>
      <sz val="11"/>
      <name val="Cantarell Light"/>
      <family val="0"/>
      <charset val="1"/>
    </font>
    <font>
      <b val="true"/>
      <sz val="11"/>
      <color rgb="FFEEEEEE"/>
      <name val="Cantarell Light"/>
      <family val="0"/>
      <charset val="1"/>
    </font>
    <font>
      <b val="true"/>
      <sz val="12"/>
      <name val="Cantarell Light"/>
      <family val="0"/>
      <charset val="1"/>
    </font>
    <font>
      <b val="true"/>
      <sz val="9"/>
      <name val="Cantarell Light"/>
      <family val="0"/>
      <charset val="1"/>
    </font>
    <font>
      <b val="true"/>
      <sz val="10"/>
      <color rgb="FF0000FF"/>
      <name val="Cantarell Light"/>
      <family val="0"/>
      <charset val="1"/>
    </font>
    <font>
      <b val="true"/>
      <sz val="10"/>
      <name val="Cantarell Light"/>
      <family val="0"/>
      <charset val="1"/>
    </font>
    <font>
      <b val="true"/>
      <sz val="8.5"/>
      <color rgb="FF555555"/>
      <name val="Cantarell Light"/>
      <family val="0"/>
      <charset val="1"/>
    </font>
    <font>
      <b val="true"/>
      <i val="true"/>
      <sz val="8.5"/>
      <name val="Cantarell Light"/>
      <family val="0"/>
      <charset val="1"/>
    </font>
    <font>
      <b val="true"/>
      <sz val="8.5"/>
      <name val="Cantarell Light"/>
      <family val="0"/>
      <charset val="1"/>
    </font>
    <font>
      <i val="true"/>
      <sz val="11"/>
      <name val="Cambria"/>
      <family val="0"/>
      <charset val="1"/>
    </font>
    <font>
      <b val="true"/>
      <i val="true"/>
      <sz val="8.5"/>
      <color rgb="FF555555"/>
      <name val="Cantarell Light"/>
      <family val="0"/>
      <charset val="1"/>
    </font>
    <font>
      <b val="true"/>
      <sz val="12"/>
      <color rgb="FF000000"/>
      <name val="Cantarell Light"/>
      <family val="0"/>
      <charset val="1"/>
    </font>
    <font>
      <b val="true"/>
      <sz val="11"/>
      <color rgb="FF3465A4"/>
      <name val="Cantarell Light"/>
      <family val="0"/>
      <charset val="1"/>
    </font>
    <font>
      <sz val="11"/>
      <color rgb="FF000000"/>
      <name val="Cantarell Light"/>
      <family val="0"/>
      <charset val="1"/>
    </font>
    <font>
      <sz val="11"/>
      <name val="Calibri"/>
      <family val="2"/>
      <charset val="1"/>
    </font>
    <font>
      <b val="true"/>
      <u val="single"/>
      <sz val="12"/>
      <color rgb="FF000000"/>
      <name val="Cantarell Light"/>
      <family val="0"/>
      <charset val="1"/>
    </font>
    <font>
      <b val="true"/>
      <sz val="9"/>
      <color rgb="FFFF8800"/>
      <name val="Arial"/>
      <family val="0"/>
      <charset val="1"/>
    </font>
    <font>
      <i val="true"/>
      <sz val="9"/>
      <name val="Arial"/>
      <family val="0"/>
      <charset val="1"/>
    </font>
    <font>
      <sz val="10"/>
      <name val="Arial"/>
      <family val="2"/>
    </font>
    <font>
      <sz val="11"/>
      <name val="Cantarell Light"/>
      <family val="0"/>
      <charset val="1"/>
    </font>
    <font>
      <sz val="11"/>
      <color rgb="FF3465A4"/>
      <name val="Cantarell Light"/>
      <family val="0"/>
      <charset val="1"/>
    </font>
    <font>
      <b val="true"/>
      <sz val="9"/>
      <color rgb="FF000000"/>
      <name val="Cantarell Light"/>
      <family val="0"/>
      <charset val="1"/>
    </font>
    <font>
      <b val="true"/>
      <sz val="10"/>
      <color rgb="FF000000"/>
      <name val="Cantarell Light"/>
      <family val="0"/>
      <charset val="1"/>
    </font>
    <font>
      <sz val="10"/>
      <color rgb="FF000000"/>
      <name val="Cantarell Light"/>
      <family val="0"/>
      <charset val="1"/>
    </font>
    <font>
      <b val="true"/>
      <sz val="13"/>
      <color rgb="FF000000"/>
      <name val="Arial"/>
      <family val="0"/>
      <charset val="1"/>
    </font>
    <font>
      <b val="true"/>
      <sz val="9"/>
      <color rgb="FF000000"/>
      <name val="Arial"/>
      <family val="0"/>
      <charset val="1"/>
    </font>
    <font>
      <b val="true"/>
      <sz val="10"/>
      <color rgb="FF3465A4"/>
      <name val="Arial"/>
      <family val="0"/>
      <charset val="1"/>
    </font>
    <font>
      <sz val="9"/>
      <color rgb="FF000000"/>
      <name val="Courier New"/>
      <family val="0"/>
      <charset val="1"/>
    </font>
    <font>
      <b val="true"/>
      <sz val="11"/>
      <color rgb="FF000000"/>
      <name val="FreeMono"/>
      <family val="3"/>
      <charset val="1"/>
    </font>
    <font>
      <sz val="12"/>
      <color rgb="FF000000"/>
      <name val="Cantarell Light"/>
      <family val="0"/>
      <charset val="1"/>
    </font>
    <font>
      <b val="true"/>
      <sz val="12"/>
      <color rgb="FF3465A4"/>
      <name val="Cantarell Light"/>
      <family val="0"/>
      <charset val="1"/>
    </font>
    <font>
      <sz val="9"/>
      <name val="Cantarell Light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EEEEEE"/>
        <bgColor rgb="FFFFFFCC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right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right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right" vertical="center" textRotation="0" wrapText="true" indent="0" shrinkToFit="false"/>
      <protection locked="true" hidden="false"/>
    </xf>
    <xf numFmtId="164" fontId="5" fillId="2" borderId="0" xfId="0" applyFont="true" applyBorder="false" applyAlignment="true" applyProtection="false">
      <alignment horizontal="right" vertical="center" textRotation="0" wrapText="true" indent="0" shrinkToFit="false"/>
      <protection locked="true" hidden="false"/>
    </xf>
    <xf numFmtId="164" fontId="5" fillId="2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right" vertical="center" textRotation="0" wrapText="true" indent="0" shrinkToFit="false"/>
      <protection locked="true" hidden="false"/>
    </xf>
    <xf numFmtId="164" fontId="7" fillId="2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right" vertical="center" textRotation="0" wrapText="true" indent="0" shrinkToFit="false"/>
      <protection locked="true" hidden="false"/>
    </xf>
    <xf numFmtId="164" fontId="9" fillId="2" borderId="0" xfId="0" applyFont="true" applyBorder="false" applyAlignment="true" applyProtection="false">
      <alignment horizontal="right" vertical="center" textRotation="0" wrapText="true" indent="0" shrinkToFit="false"/>
      <protection locked="true" hidden="false"/>
    </xf>
    <xf numFmtId="164" fontId="10" fillId="2" borderId="0" xfId="0" applyFont="true" applyBorder="false" applyAlignment="true" applyProtection="false">
      <alignment horizontal="right" vertical="center" textRotation="0" wrapText="true" indent="0" shrinkToFit="false"/>
      <protection locked="true" hidden="false"/>
    </xf>
    <xf numFmtId="165" fontId="10" fillId="2" borderId="0" xfId="0" applyFont="true" applyBorder="false" applyAlignment="true" applyProtection="false">
      <alignment horizontal="right" vertical="center" textRotation="0" wrapText="true" indent="0" shrinkToFit="false"/>
      <protection locked="true" hidden="false"/>
    </xf>
    <xf numFmtId="164" fontId="0" fillId="2" borderId="0" xfId="0" applyFont="false" applyBorder="false" applyAlignment="true" applyProtection="false">
      <alignment horizontal="right" vertical="center" textRotation="0" wrapText="false" indent="0" shrinkToFit="false"/>
      <protection locked="true" hidden="false"/>
    </xf>
    <xf numFmtId="165" fontId="5" fillId="2" borderId="0" xfId="0" applyFont="true" applyBorder="false" applyAlignment="true" applyProtection="false">
      <alignment horizontal="right" vertical="center" textRotation="0" wrapText="true" indent="0" shrinkToFit="false"/>
      <protection locked="true" hidden="false"/>
    </xf>
    <xf numFmtId="164" fontId="9" fillId="2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11" fillId="2" borderId="0" xfId="0" applyFont="true" applyBorder="false" applyAlignment="true" applyProtection="false">
      <alignment horizontal="right" vertical="center" textRotation="0" wrapText="true" indent="0" shrinkToFit="false"/>
      <protection locked="true" hidden="false"/>
    </xf>
    <xf numFmtId="164" fontId="12" fillId="2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13" fillId="2" borderId="0" xfId="0" applyFont="true" applyBorder="false" applyAlignment="true" applyProtection="false">
      <alignment horizontal="right" vertical="center" textRotation="0" wrapText="true" indent="0" shrinkToFit="false"/>
      <protection locked="true" hidden="false"/>
    </xf>
    <xf numFmtId="164" fontId="10" fillId="2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right" vertical="center" textRotation="0" wrapText="true" indent="0" shrinkToFit="false"/>
      <protection locked="true" hidden="false"/>
    </xf>
    <xf numFmtId="164" fontId="14" fillId="2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5" fontId="10" fillId="2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15" fillId="2" borderId="0" xfId="0" applyFont="true" applyBorder="false" applyAlignment="true" applyProtection="false">
      <alignment horizontal="right" vertical="center" textRotation="0" wrapText="true" indent="0" shrinkToFit="false"/>
      <protection locked="true" hidden="false"/>
    </xf>
    <xf numFmtId="164" fontId="16" fillId="2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5" fillId="2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7" fillId="2" borderId="0" xfId="0" applyFont="true" applyBorder="false" applyAlignment="true" applyProtection="false">
      <alignment horizontal="right" vertical="center" textRotation="0" wrapText="true" indent="0" shrinkToFit="false"/>
      <protection locked="true" hidden="false"/>
    </xf>
    <xf numFmtId="164" fontId="5" fillId="2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8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17" fillId="2" borderId="0" xfId="0" applyFont="true" applyBorder="false" applyAlignment="true" applyProtection="false">
      <alignment horizontal="right" vertical="center" textRotation="0" wrapText="true" indent="0" shrinkToFit="false"/>
      <protection locked="true" hidden="false"/>
    </xf>
    <xf numFmtId="164" fontId="18" fillId="2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16" fillId="2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6" fillId="2" borderId="0" xfId="0" applyFont="true" applyBorder="false" applyAlignment="true" applyProtection="false">
      <alignment horizontal="right" vertical="center" textRotation="0" wrapText="true" indent="0" shrinkToFit="false"/>
      <protection locked="true" hidden="false"/>
    </xf>
    <xf numFmtId="164" fontId="19" fillId="2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19" fillId="2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5" fillId="2" borderId="0" xfId="0" applyFont="true" applyBorder="false" applyAlignment="true" applyProtection="false">
      <alignment horizontal="right" vertical="center" textRotation="0" wrapText="true" indent="0" shrinkToFit="false"/>
      <protection locked="true" hidden="false"/>
    </xf>
    <xf numFmtId="167" fontId="5" fillId="2" borderId="0" xfId="0" applyFont="true" applyBorder="false" applyAlignment="true" applyProtection="false">
      <alignment horizontal="right" vertical="center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4" fillId="2" borderId="0" xfId="0" applyFont="true" applyBorder="false" applyAlignment="true" applyProtection="false">
      <alignment horizontal="right" vertical="center" textRotation="0" wrapText="true" indent="0" shrinkToFit="false"/>
      <protection locked="true" hidden="false"/>
    </xf>
    <xf numFmtId="164" fontId="4" fillId="2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0" fillId="2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21" fillId="2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22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18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5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4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18" fillId="2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8" fillId="2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25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24" fillId="2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5" fontId="25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0" fillId="2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4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24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8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5" fontId="24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5" fillId="2" borderId="0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24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left" vertical="bottom" textRotation="0" wrapText="true" indent="0" shrinkToFit="false"/>
      <protection locked="true" hidden="false"/>
    </xf>
    <xf numFmtId="164" fontId="0" fillId="2" borderId="0" xfId="0" applyFont="fals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2" borderId="0" xfId="0" applyFont="false" applyBorder="false" applyAlignment="true" applyProtection="false">
      <alignment horizontal="left" vertical="bottom" textRotation="0" wrapText="true" indent="0" shrinkToFit="false"/>
      <protection locked="true" hidden="false"/>
    </xf>
    <xf numFmtId="164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6" fillId="2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9" fillId="2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27" fillId="2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6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2" borderId="1" xfId="0" applyFont="false" applyBorder="true" applyAlignment="true" applyProtection="false">
      <alignment horizontal="general" vertical="bottom" textRotation="0" wrapText="true" indent="0" shrinkToFit="false"/>
      <protection locked="true" hidden="false"/>
    </xf>
    <xf numFmtId="165" fontId="17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4" fillId="2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4" fillId="2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0" fillId="2" borderId="0" xfId="0" applyFont="false" applyBorder="false" applyAlignment="true" applyProtection="false">
      <alignment horizontal="right" vertical="bottom" textRotation="0" wrapText="true" indent="0" shrinkToFit="false"/>
      <protection locked="true" hidden="false"/>
    </xf>
    <xf numFmtId="164" fontId="0" fillId="2" borderId="0" xfId="0" applyFont="fals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4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4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8" fontId="4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0" fillId="2" borderId="0" xfId="0" applyFont="fals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16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8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7" fillId="2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9" fillId="2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28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8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right" vertical="bottom" textRotation="0" wrapText="true" indent="0" shrinkToFit="false"/>
      <protection locked="true" hidden="false"/>
    </xf>
    <xf numFmtId="165" fontId="17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5" fontId="18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4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29" fillId="2" borderId="0" xfId="0" applyFont="true" applyBorder="false" applyAlignment="true" applyProtection="false">
      <alignment horizontal="left" vertical="top" textRotation="0" wrapText="false" indent="0" shrinkToFit="false"/>
      <protection locked="true" hidden="false"/>
    </xf>
    <xf numFmtId="164" fontId="30" fillId="2" borderId="0" xfId="0" applyFont="true" applyBorder="false" applyAlignment="true" applyProtection="false">
      <alignment horizontal="left" vertical="top" textRotation="0" wrapText="false" indent="0" shrinkToFit="false"/>
      <protection locked="true" hidden="false"/>
    </xf>
    <xf numFmtId="164" fontId="31" fillId="2" borderId="0" xfId="0" applyFont="true" applyBorder="false" applyAlignment="true" applyProtection="false">
      <alignment horizontal="left" vertical="top" textRotation="0" wrapText="false" indent="0" shrinkToFit="false"/>
      <protection locked="true" hidden="false"/>
    </xf>
    <xf numFmtId="164" fontId="32" fillId="2" borderId="0" xfId="0" applyFont="true" applyBorder="false" applyAlignment="true" applyProtection="false">
      <alignment horizontal="left" vertical="top" textRotation="0" wrapText="false" indent="0" shrinkToFit="false"/>
      <protection locked="true" hidden="false"/>
    </xf>
    <xf numFmtId="164" fontId="33" fillId="2" borderId="0" xfId="0" applyFont="true" applyBorder="false" applyAlignment="true" applyProtection="false">
      <alignment horizontal="left" vertical="top" textRotation="0" wrapText="false" indent="0" shrinkToFit="false"/>
      <protection locked="true" hidden="false"/>
    </xf>
    <xf numFmtId="164" fontId="33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8" fillId="2" borderId="0" xfId="0" applyFont="true" applyBorder="false" applyAlignment="true" applyProtection="false">
      <alignment horizontal="left" vertical="top" textRotation="0" wrapText="false" indent="0" shrinkToFit="false"/>
      <protection locked="true" hidden="false"/>
    </xf>
    <xf numFmtId="164" fontId="16" fillId="2" borderId="0" xfId="0" applyFont="true" applyBorder="false" applyAlignment="true" applyProtection="false">
      <alignment horizontal="left" vertical="top" textRotation="0" wrapText="false" indent="0" shrinkToFit="false"/>
      <protection locked="true" hidden="false"/>
    </xf>
    <xf numFmtId="164" fontId="34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6" fillId="2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34" fillId="2" borderId="0" xfId="0" applyFont="true" applyBorder="false" applyAlignment="true" applyProtection="false">
      <alignment horizontal="left" vertical="top" textRotation="0" wrapText="false" indent="0" shrinkToFit="false"/>
      <protection locked="true" hidden="false"/>
    </xf>
    <xf numFmtId="164" fontId="35" fillId="2" borderId="0" xfId="0" applyFont="true" applyBorder="false" applyAlignment="true" applyProtection="false">
      <alignment horizontal="left" vertical="top" textRotation="0" wrapText="false" indent="0" shrinkToFit="false"/>
      <protection locked="true" hidden="false"/>
    </xf>
    <xf numFmtId="165" fontId="35" fillId="2" borderId="0" xfId="0" applyFont="true" applyBorder="false" applyAlignment="true" applyProtection="false">
      <alignment horizontal="left" vertical="top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4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0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EEEEE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465A4"/>
      <rgbColor rgb="FF33CCCC"/>
      <rgbColor rgb="FF99CC00"/>
      <rgbColor rgb="FFFFCC00"/>
      <rgbColor rgb="FFFF88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33"/>
  <sheetViews>
    <sheetView showFormulas="false" showGridLines="true" showRowColHeaders="true" showZeros="true" rightToLeft="false" tabSelected="false" showOutlineSymbols="true" defaultGridColor="true" view="normal" topLeftCell="A1" colorId="64" zoomScale="200" zoomScaleNormal="200" zoomScalePageLayoutView="100" workbookViewId="0">
      <selection pane="topLeft" activeCell="C18" activeCellId="0" sqref="C18"/>
    </sheetView>
  </sheetViews>
  <sheetFormatPr defaultColWidth="8.640625" defaultRowHeight="15" customHeight="false" zeroHeight="false" outlineLevelRow="0" outlineLevelCol="0"/>
  <cols>
    <col collapsed="false" customWidth="true" hidden="false" outlineLevel="0" max="1" min="1" style="1" width="2.55"/>
    <col collapsed="false" customWidth="true" hidden="false" outlineLevel="0" max="2" min="2" style="1" width="79.55"/>
    <col collapsed="false" customWidth="true" hidden="false" outlineLevel="0" max="3" min="3" style="2" width="22.9"/>
    <col collapsed="false" customWidth="true" hidden="false" outlineLevel="0" max="4" min="4" style="1" width="6.72"/>
    <col collapsed="false" customWidth="true" hidden="false" outlineLevel="0" max="5" min="5" style="3" width="22.53"/>
    <col collapsed="false" customWidth="true" hidden="false" outlineLevel="0" max="6" min="6" style="4" width="69.56"/>
    <col collapsed="false" customWidth="true" hidden="false" outlineLevel="0" max="7" min="7" style="4" width="38.33"/>
    <col collapsed="false" customWidth="true" hidden="false" outlineLevel="0" max="8" min="8" style="3" width="45.29"/>
    <col collapsed="false" customWidth="true" hidden="false" outlineLevel="0" max="9" min="9" style="3" width="41.95"/>
    <col collapsed="false" customWidth="true" hidden="true" outlineLevel="0" max="10" min="10" style="4" width="2.55"/>
    <col collapsed="false" customWidth="true" hidden="false" outlineLevel="0" max="11" min="11" style="3" width="2.55"/>
    <col collapsed="false" customWidth="false" hidden="false" outlineLevel="0" max="12" min="12" style="3" width="8.64"/>
    <col collapsed="false" customWidth="false" hidden="false" outlineLevel="0" max="256" min="13" style="1" width="8.64"/>
    <col collapsed="false" customWidth="false" hidden="false" outlineLevel="0" max="16383" min="257" style="5" width="8.64"/>
    <col collapsed="false" customWidth="true" hidden="false" outlineLevel="0" max="16384" min="16384" style="5" width="11.53"/>
  </cols>
  <sheetData>
    <row r="1" customFormat="false" ht="15" hidden="false" customHeight="true" outlineLevel="0" collapsed="false">
      <c r="A1" s="6"/>
      <c r="B1" s="7"/>
      <c r="C1" s="7"/>
      <c r="D1" s="6"/>
      <c r="E1" s="8"/>
      <c r="F1" s="9"/>
      <c r="G1" s="9"/>
      <c r="H1" s="8"/>
      <c r="I1" s="8"/>
      <c r="J1" s="10"/>
      <c r="K1" s="8"/>
    </row>
    <row r="2" customFormat="false" ht="15" hidden="false" customHeight="true" outlineLevel="0" collapsed="false">
      <c r="A2" s="6"/>
      <c r="B2" s="11" t="s">
        <v>0</v>
      </c>
      <c r="C2" s="11"/>
      <c r="D2" s="12"/>
      <c r="E2" s="11"/>
      <c r="F2" s="12"/>
      <c r="G2" s="12"/>
      <c r="H2" s="11"/>
      <c r="I2" s="8"/>
      <c r="J2" s="10"/>
      <c r="K2" s="8"/>
    </row>
    <row r="3" customFormat="false" ht="15" hidden="false" customHeight="true" outlineLevel="0" collapsed="false">
      <c r="A3" s="6"/>
      <c r="B3" s="13" t="s">
        <v>1</v>
      </c>
      <c r="C3" s="11"/>
      <c r="D3" s="12"/>
      <c r="E3" s="11"/>
      <c r="F3" s="12"/>
      <c r="G3" s="12"/>
      <c r="H3" s="11"/>
      <c r="I3" s="8"/>
      <c r="J3" s="10"/>
      <c r="K3" s="8"/>
    </row>
    <row r="4" customFormat="false" ht="15" hidden="false" customHeight="true" outlineLevel="0" collapsed="false">
      <c r="A4" s="6"/>
      <c r="B4" s="14" t="s">
        <v>2</v>
      </c>
      <c r="C4" s="11"/>
      <c r="D4" s="12"/>
      <c r="E4" s="11"/>
      <c r="F4" s="12"/>
      <c r="G4" s="12"/>
      <c r="H4" s="11"/>
      <c r="I4" s="8"/>
      <c r="J4" s="10"/>
      <c r="K4" s="8"/>
    </row>
    <row r="5" customFormat="false" ht="15" hidden="false" customHeight="true" outlineLevel="0" collapsed="false">
      <c r="A5" s="6"/>
      <c r="B5" s="14"/>
      <c r="C5" s="11"/>
      <c r="D5" s="12"/>
      <c r="E5" s="11"/>
      <c r="F5" s="12"/>
      <c r="G5" s="12"/>
      <c r="H5" s="11"/>
      <c r="I5" s="8"/>
      <c r="J5" s="10"/>
      <c r="K5" s="8"/>
    </row>
    <row r="6" customFormat="false" ht="87" hidden="false" customHeight="true" outlineLevel="0" collapsed="false">
      <c r="A6" s="6"/>
      <c r="B6" s="15" t="s">
        <v>3</v>
      </c>
      <c r="C6" s="15" t="str">
        <f aca="false">IF(NOT(ISNUMBER(C88)),"🚨 CRITICAL: Enable iterative calculation (File→Options→Formulas, 100 iter, 0.0001 tol) then press F9",IF(C42&gt;0,"⚡ Press F9 until η (D6) stops changing. Current η="&amp;TEXT(IF(ISNUMBER(C88),C88,C21),"0.0000")&amp;" — if this value changes when you press F9, keep pressing. When stable: ✅ CONVERGED.","⚠ R invalid — check QL input"))</f>
        <v>⚡ Press F9 until η (D6) stops changing. Current η=00.001 — if this value changes when you press F9, keep pressing. When stable: ✅ CONVERGED.</v>
      </c>
      <c r="D6" s="16" t="n">
        <f aca="false">C88</f>
        <v>0.753379099769112</v>
      </c>
      <c r="E6" s="11"/>
      <c r="F6" s="12"/>
      <c r="G6" s="12"/>
      <c r="H6" s="17"/>
      <c r="I6" s="8"/>
      <c r="J6" s="10"/>
      <c r="K6" s="18"/>
    </row>
    <row r="7" customFormat="false" ht="15" hidden="false" customHeight="true" outlineLevel="0" collapsed="false">
      <c r="A7" s="6"/>
      <c r="B7" s="19"/>
      <c r="C7" s="11"/>
      <c r="D7" s="12"/>
      <c r="E7" s="11"/>
      <c r="F7" s="12"/>
      <c r="G7" s="12"/>
      <c r="H7" s="11"/>
      <c r="I7" s="8"/>
      <c r="J7" s="10"/>
      <c r="K7" s="8"/>
    </row>
    <row r="8" customFormat="false" ht="15" hidden="false" customHeight="true" outlineLevel="0" collapsed="false">
      <c r="A8" s="6"/>
      <c r="B8" s="12" t="s">
        <v>4</v>
      </c>
      <c r="C8" s="7"/>
      <c r="D8" s="12"/>
      <c r="E8" s="11"/>
      <c r="F8" s="12"/>
      <c r="G8" s="12"/>
      <c r="H8" s="11"/>
      <c r="I8" s="8"/>
      <c r="J8" s="10"/>
      <c r="K8" s="8"/>
    </row>
    <row r="9" customFormat="false" ht="15" hidden="false" customHeight="true" outlineLevel="0" collapsed="false">
      <c r="A9" s="6"/>
      <c r="B9" s="12" t="s">
        <v>5</v>
      </c>
      <c r="C9" s="20"/>
      <c r="D9" s="21"/>
      <c r="E9" s="22"/>
      <c r="F9" s="21"/>
      <c r="G9" s="21"/>
      <c r="H9" s="22"/>
      <c r="I9" s="8" t="str">
        <f aca="false">IF(ISNUMBER(IFERROR(VLOOKUP(B9,'MOSFET Reference Table'!$A:$E,5,0)*1,0)),"","⚠ LDMOS/no Rds(on) — efficiency model INACTIVE for this device. C88 returns a warning string; I_dc uses input η (C21); no loss calculation is performed. Verify η from manufacturer datasheet or LTspice simulation.")</f>
        <v/>
      </c>
      <c r="J9" s="10"/>
      <c r="K9" s="8"/>
    </row>
    <row r="10" customFormat="false" ht="15" hidden="false" customHeight="true" outlineLevel="0" collapsed="false">
      <c r="A10" s="6"/>
      <c r="B10" s="23" t="s">
        <v>6</v>
      </c>
      <c r="C10" s="24"/>
      <c r="D10" s="25"/>
      <c r="E10" s="11"/>
      <c r="F10" s="12"/>
      <c r="G10" s="12"/>
      <c r="H10" s="11"/>
      <c r="I10" s="8"/>
      <c r="J10" s="10"/>
      <c r="K10" s="8"/>
    </row>
    <row r="11" customFormat="false" ht="15" hidden="false" customHeight="true" outlineLevel="0" collapsed="false">
      <c r="A11" s="6"/>
      <c r="B11" s="26" t="n">
        <f aca="false">C84</f>
        <v>53.43</v>
      </c>
      <c r="C11" s="27"/>
      <c r="D11" s="12"/>
      <c r="E11" s="11"/>
      <c r="F11" s="12"/>
      <c r="G11" s="12"/>
      <c r="H11" s="11"/>
      <c r="I11" s="8"/>
      <c r="J11" s="10"/>
      <c r="K11" s="8"/>
    </row>
    <row r="12" customFormat="false" ht="15" hidden="false" customHeight="true" outlineLevel="0" collapsed="false">
      <c r="A12" s="6"/>
      <c r="B12" s="9" t="str">
        <f aca="false">IF(IFERROR(VLOOKUP(B9,'MOSFET Reference Table'!$A:$C,3,0)*1,0)&lt;C84,"🚨 V_DSS TOO LOW — MOSFET WILL FAIL! V_DSS="&amp;TEXT(IFERROR(VLOOKUP(B9,'MOSFET Reference Table'!$A:$C,3,0),"?"),"0")&amp;"V &lt; required "&amp;TEXT(C84,"0")&amp;"V",IF(IFERROR(VLOOKUP(B9,'MOSFET Reference Table'!$A:$D,4,0)*1,999)&gt;=C86,"✅ V_DSS OK | I_D(cont) OK vs I_pk (⚠ verify I_D(pulsed) ≥ I_pk if I_D(cont) is marginal)",IF(IFERROR(VLOOKUP(B9,'MOSFET Reference Table'!$A:$D,4,0)*1,999)&gt;=C86/2,"⚠ V_DSS OK | I_D(cont)="&amp;TEXT(IFERROR(VLOOKUP(B9,'MOSFET Reference Table'!$A:$D,4,0),"?"),"0.0")&amp;"A &lt; I_pk="&amp;TEXT(C86,"0.00")&amp;"A — I_D(cont) &lt; I_pk but pulsed rating is typically 2-4× higher. Verify I_D(pulsed) from datasheet ≥ I_pk.","✅ V_DSS OK | ⚠ I_D(cont)="&amp;TEXT(IFERROR(VLOOKUP(B9,'MOSFET Reference Table'!$A:$D,4,0),"?"),"0.0")&amp;"A &lt; I_pk="&amp;TEXT(C86,"0.00")&amp;"A — check I_D(pulsed) in datasheet")))</f>
        <v>✅ V_DSS OK | I_D(cont) OK vs I_pk (⚠ verify I_D(pulsed) ≥ I_pk if I_D(cont) is marginal)</v>
      </c>
      <c r="C12" s="27"/>
      <c r="D12" s="12"/>
      <c r="E12" s="11"/>
      <c r="F12" s="12"/>
      <c r="G12" s="12"/>
      <c r="H12" s="11"/>
      <c r="I12" s="8"/>
      <c r="J12" s="10"/>
      <c r="K12" s="8"/>
    </row>
    <row r="13" customFormat="false" ht="15" hidden="false" customHeight="true" outlineLevel="0" collapsed="false">
      <c r="A13" s="6"/>
      <c r="B13" s="21"/>
      <c r="C13" s="27"/>
      <c r="D13" s="12"/>
      <c r="E13" s="11"/>
      <c r="F13" s="12"/>
      <c r="G13" s="12"/>
      <c r="H13" s="11"/>
      <c r="I13" s="8"/>
      <c r="J13" s="10"/>
      <c r="K13" s="8"/>
    </row>
    <row r="14" customFormat="false" ht="15" hidden="false" customHeight="true" outlineLevel="0" collapsed="false">
      <c r="A14" s="6"/>
      <c r="B14" s="28" t="s">
        <v>7</v>
      </c>
      <c r="C14" s="7"/>
      <c r="D14" s="6"/>
      <c r="E14" s="8"/>
      <c r="F14" s="9"/>
      <c r="G14" s="9"/>
      <c r="H14" s="8"/>
      <c r="I14" s="8"/>
      <c r="J14" s="10"/>
      <c r="K14" s="8"/>
    </row>
    <row r="15" customFormat="false" ht="15" hidden="false" customHeight="true" outlineLevel="0" collapsed="false">
      <c r="A15" s="6"/>
      <c r="B15" s="29" t="s">
        <v>8</v>
      </c>
      <c r="C15" s="29" t="s">
        <v>9</v>
      </c>
      <c r="D15" s="30" t="s">
        <v>10</v>
      </c>
      <c r="E15" s="29"/>
      <c r="F15" s="30"/>
      <c r="G15" s="30"/>
      <c r="H15" s="29"/>
      <c r="I15" s="29"/>
      <c r="J15" s="10"/>
      <c r="K15" s="8"/>
    </row>
    <row r="16" customFormat="false" ht="15" hidden="false" customHeight="true" outlineLevel="0" collapsed="false">
      <c r="A16" s="6"/>
      <c r="B16" s="8" t="s">
        <v>11</v>
      </c>
      <c r="C16" s="31" t="n">
        <v>5</v>
      </c>
      <c r="D16" s="32" t="s">
        <v>12</v>
      </c>
      <c r="E16" s="8"/>
      <c r="F16" s="8"/>
      <c r="G16" s="9"/>
      <c r="H16" s="8"/>
      <c r="I16" s="8"/>
      <c r="J16" s="10"/>
      <c r="K16" s="8"/>
    </row>
    <row r="17" customFormat="false" ht="15" hidden="false" customHeight="true" outlineLevel="0" collapsed="false">
      <c r="A17" s="6"/>
      <c r="B17" s="8" t="s">
        <v>13</v>
      </c>
      <c r="C17" s="31" t="n">
        <v>0.4</v>
      </c>
      <c r="D17" s="32" t="s">
        <v>14</v>
      </c>
      <c r="E17" s="8"/>
      <c r="F17" s="8"/>
      <c r="G17" s="9"/>
      <c r="H17" s="8"/>
      <c r="I17" s="8"/>
      <c r="J17" s="10"/>
      <c r="K17" s="8"/>
    </row>
    <row r="18" customFormat="false" ht="15" hidden="false" customHeight="true" outlineLevel="0" collapsed="false">
      <c r="A18" s="6"/>
      <c r="B18" s="8" t="s">
        <v>15</v>
      </c>
      <c r="C18" s="31" t="n">
        <v>14</v>
      </c>
      <c r="D18" s="32" t="s">
        <v>16</v>
      </c>
      <c r="E18" s="8" t="str">
        <f aca="false">IF(C18&gt;1000,"🚨 Frequency appears to be in Hz, not MHz. Enter MHz only (e.g., 14 for 14 MHz).",IF(C18&lt;0.001,"🚨 Frequency appears too low. Enter value in MHz.","✅ f = "&amp;TEXT(C18,"0.000")&amp;" MHz"))</f>
        <v>✅ f = 0.014 MHz</v>
      </c>
      <c r="F18" s="8"/>
      <c r="G18" s="9"/>
      <c r="H18" s="8"/>
      <c r="I18" s="8"/>
      <c r="J18" s="10"/>
      <c r="K18" s="8"/>
    </row>
    <row r="19" customFormat="false" ht="40.5" hidden="false" customHeight="true" outlineLevel="0" collapsed="false">
      <c r="A19" s="6"/>
      <c r="B19" s="8" t="s">
        <v>17</v>
      </c>
      <c r="C19" s="31" t="n">
        <v>5</v>
      </c>
      <c r="D19" s="32" t="s">
        <v>18</v>
      </c>
      <c r="E19" s="8" t="str">
        <f aca="false">IF(NOT(ISNUMBER(C19)),"QL must be a number (e.g., 5)",IF(C19&lt;=0,"QL must be positive (min 1.7879)",IF(C19&lt;1.7879,"QL&lt;1.7879 minimum — Class-E impossible",IF(C18&gt;30,"QL valid. For f&gt;30 MHz, try QL=3–5 to keep L2 manageable.",IF(C18&gt;14,"QL valid. For 14–30 MHz HF, QL=5–7 recommended.",IF(C18&gt;3,"QL valid. For 3–14 MHz HF, QL=5–10 gives good balance.","QL valid. For LF/MF (&lt;3 MHz), QL=7–15 allows excellent efficiency."))))))</f>
        <v>QL valid. For 3–14 MHz HF, QL=5–10 gives good balance.</v>
      </c>
      <c r="F19" s="8"/>
      <c r="G19" s="9"/>
      <c r="H19" s="8"/>
      <c r="I19" s="8"/>
      <c r="J19" s="10"/>
      <c r="K19" s="8"/>
    </row>
    <row r="20" customFormat="false" ht="15" hidden="false" customHeight="true" outlineLevel="0" collapsed="false">
      <c r="A20" s="6"/>
      <c r="B20" s="8" t="s">
        <v>19</v>
      </c>
      <c r="C20" s="31" t="n">
        <v>0</v>
      </c>
      <c r="D20" s="32" t="s">
        <v>12</v>
      </c>
      <c r="E20" s="8"/>
      <c r="F20" s="8"/>
      <c r="G20" s="9"/>
      <c r="H20" s="8"/>
      <c r="I20" s="8"/>
      <c r="J20" s="10"/>
      <c r="K20" s="8"/>
    </row>
    <row r="21" customFormat="false" ht="79.5" hidden="false" customHeight="true" outlineLevel="0" collapsed="false">
      <c r="A21" s="6"/>
      <c r="B21" s="8" t="s">
        <v>20</v>
      </c>
      <c r="C21" s="31" t="n">
        <v>0.92</v>
      </c>
      <c r="D21" s="32" t="s">
        <v>18</v>
      </c>
      <c r="E21" s="8" t="str">
        <f aca="false">IF(OR(C21&lt;=0,C21&gt;=1),"🚨 FATAL: η must be between 0.01 and 0.99 (e.g., 0.85)",IF(ISNUMBER(C88),IF(ABS(C88-C21)&gt;0.02,"ℹ C21="&amp;TEXT(C21,"0%")&amp;" differs from analytical C88="&amp;TEXT(C88,"0.0%")&amp;". C88 (predicted η) is always used for I_dc — C21 is informational only.","✅ η (C88) converged. C21 is informational only."),"⚠ C88 not numeric — check MOSFET table or enter η in C21"))</f>
        <v>ℹ C21=92% differs from analytical C88=75%. C88 (predicted η) is always used for I_dc — C21 is informational only.</v>
      </c>
      <c r="F21" s="8"/>
      <c r="G21" s="9"/>
      <c r="H21" s="8"/>
      <c r="I21" s="8"/>
      <c r="J21" s="10"/>
      <c r="K21" s="8"/>
    </row>
    <row r="22" customFormat="false" ht="66.75" hidden="false" customHeight="true" outlineLevel="0" collapsed="false">
      <c r="A22" s="6"/>
      <c r="B22" s="8" t="s">
        <v>21</v>
      </c>
      <c r="C22" s="31" t="n">
        <v>0.05</v>
      </c>
      <c r="D22" s="32" t="s">
        <v>22</v>
      </c>
      <c r="E22" s="8"/>
      <c r="F22" s="33" t="s">
        <v>23</v>
      </c>
      <c r="G22" s="9"/>
      <c r="H22" s="8"/>
      <c r="I22" s="8"/>
      <c r="J22" s="10"/>
      <c r="K22" s="8"/>
    </row>
    <row r="23" customFormat="false" ht="40.5" hidden="false" customHeight="true" outlineLevel="0" collapsed="false">
      <c r="A23" s="6"/>
      <c r="B23" s="8" t="s">
        <v>24</v>
      </c>
      <c r="C23" s="31" t="n">
        <v>0.1</v>
      </c>
      <c r="D23" s="32" t="s">
        <v>22</v>
      </c>
      <c r="E23" s="8"/>
      <c r="F23" s="33" t="s">
        <v>25</v>
      </c>
      <c r="G23" s="33" t="str">
        <f aca="false">IF(AND(ISNUMBER(C23),ISNUMBER(C43),MAX(C16-C35,0.001)&gt;0),IF(ABS(C23*C43/(MAX(C16-C35,0.001))-0.01)&gt;0.005,"⚠ RFC actual loss="&amp;TEXT(C23*C43/(MAX(C16-C35,0.001))*100,"0.0")&amp;"% vs Sokal fixed 1% (−0.01 term). Δη="&amp;TEXT(C23*C43/(MAX(C16-C35,0.001))-0.01,"0.000")&amp;". Adjust input η (C20) accordingly.","✅ RFC loss≈"&amp;TEXT(C23*C43/(MAX(C16-C35,0.001))*100,"0.0")&amp;"% — Sokal −0.01 fixed term accurate."),"—")</f>
        <v>⚠ RFC actual loss=00% vs Sokal fixed 1% (−0.01 term). Δη=0.000. Adjust input η (C20) accordingly.</v>
      </c>
      <c r="H23" s="17"/>
      <c r="I23" s="8"/>
      <c r="J23" s="10"/>
      <c r="K23" s="8"/>
    </row>
    <row r="24" customFormat="false" ht="15" hidden="false" customHeight="true" outlineLevel="0" collapsed="false">
      <c r="A24" s="6"/>
      <c r="B24" s="8" t="s">
        <v>26</v>
      </c>
      <c r="C24" s="31" t="n">
        <v>50</v>
      </c>
      <c r="D24" s="32" t="s">
        <v>22</v>
      </c>
      <c r="E24" s="8"/>
      <c r="F24" s="8"/>
      <c r="G24" s="9"/>
      <c r="H24" s="8"/>
      <c r="I24" s="8"/>
      <c r="J24" s="10"/>
      <c r="K24" s="8"/>
    </row>
    <row r="25" customFormat="false" ht="15" hidden="false" customHeight="true" outlineLevel="0" collapsed="false">
      <c r="A25" s="6"/>
      <c r="B25" s="8" t="s">
        <v>27</v>
      </c>
      <c r="C25" s="31" t="n">
        <v>50</v>
      </c>
      <c r="D25" s="32" t="s">
        <v>22</v>
      </c>
      <c r="E25" s="8"/>
      <c r="F25" s="8"/>
      <c r="G25" s="9"/>
      <c r="H25" s="8"/>
      <c r="I25" s="8"/>
      <c r="J25" s="10"/>
      <c r="K25" s="8"/>
    </row>
    <row r="26" customFormat="false" ht="40.5" hidden="false" customHeight="true" outlineLevel="0" collapsed="false">
      <c r="A26" s="6"/>
      <c r="B26" s="7" t="s">
        <v>28</v>
      </c>
      <c r="C26" s="31" t="n">
        <v>0.5</v>
      </c>
      <c r="D26" s="32" t="s">
        <v>18</v>
      </c>
      <c r="E26" s="8" t="str">
        <f aca="false">IF(C26&lt;&gt;0.5,"🚨 FATAL: D≠0.5 — ALL SOKAL EQUATIONS INVALID. Reset to 0.5.","✅ D = 0.5 — correct (required for Sokal equations)")</f>
        <v>✅ D = 0.5 — correct (required for Sokal equations)</v>
      </c>
      <c r="F26" s="8"/>
      <c r="G26" s="9"/>
      <c r="H26" s="8"/>
      <c r="I26" s="8"/>
      <c r="J26" s="10"/>
      <c r="K26" s="8"/>
    </row>
    <row r="27" customFormat="false" ht="15" hidden="false" customHeight="true" outlineLevel="0" collapsed="false">
      <c r="A27" s="6"/>
      <c r="B27" s="8" t="s">
        <v>29</v>
      </c>
      <c r="C27" s="31" t="n">
        <f aca="false">IFERROR(IF(B9="-- Select MOSFET --",100,VLOOKUP(B9,'MOSFET Reference Table'!$A:$F,6,0)),100)</f>
        <v>60</v>
      </c>
      <c r="D27" s="32" t="s">
        <v>30</v>
      </c>
      <c r="E27" s="8"/>
      <c r="F27" s="8"/>
      <c r="G27" s="9"/>
      <c r="H27" s="8"/>
      <c r="I27" s="8"/>
      <c r="J27" s="10"/>
      <c r="K27" s="8"/>
    </row>
    <row r="28" customFormat="false" ht="15" hidden="false" customHeight="true" outlineLevel="0" collapsed="false">
      <c r="A28" s="6"/>
      <c r="B28" s="8" t="s">
        <v>31</v>
      </c>
      <c r="C28" s="31" t="n">
        <v>10</v>
      </c>
      <c r="D28" s="32" t="s">
        <v>22</v>
      </c>
      <c r="E28" s="8"/>
      <c r="F28" s="8"/>
      <c r="G28" s="9"/>
      <c r="H28" s="8"/>
      <c r="I28" s="8"/>
      <c r="J28" s="10"/>
      <c r="K28" s="8"/>
    </row>
    <row r="29" customFormat="false" ht="15" hidden="false" customHeight="true" outlineLevel="0" collapsed="false">
      <c r="A29" s="6"/>
      <c r="B29" s="8" t="s">
        <v>32</v>
      </c>
      <c r="C29" s="31" t="n">
        <v>25</v>
      </c>
      <c r="D29" s="32" t="s">
        <v>33</v>
      </c>
      <c r="E29" s="8"/>
      <c r="F29" s="8"/>
      <c r="G29" s="9"/>
      <c r="H29" s="8"/>
      <c r="I29" s="8"/>
      <c r="J29" s="10"/>
      <c r="K29" s="8"/>
    </row>
    <row r="30" customFormat="false" ht="15" hidden="false" customHeight="true" outlineLevel="0" collapsed="false">
      <c r="A30" s="6"/>
      <c r="B30" s="8" t="s">
        <v>34</v>
      </c>
      <c r="C30" s="31" t="n">
        <v>0.01</v>
      </c>
      <c r="D30" s="32" t="s">
        <v>22</v>
      </c>
      <c r="E30" s="8"/>
      <c r="F30" s="8"/>
      <c r="G30" s="9"/>
      <c r="H30" s="8"/>
      <c r="I30" s="8"/>
      <c r="J30" s="10"/>
      <c r="K30" s="8"/>
    </row>
    <row r="31" customFormat="false" ht="15" hidden="false" customHeight="true" outlineLevel="0" collapsed="false">
      <c r="A31" s="6"/>
      <c r="B31" s="8" t="s">
        <v>35</v>
      </c>
      <c r="C31" s="31" t="n">
        <v>0.01</v>
      </c>
      <c r="D31" s="32" t="s">
        <v>22</v>
      </c>
      <c r="E31" s="8"/>
      <c r="F31" s="8"/>
      <c r="G31" s="9"/>
      <c r="H31" s="8"/>
      <c r="I31" s="8"/>
      <c r="J31" s="10"/>
      <c r="K31" s="8"/>
    </row>
    <row r="32" customFormat="false" ht="15" hidden="false" customHeight="true" outlineLevel="0" collapsed="false">
      <c r="A32" s="6"/>
      <c r="B32" s="8" t="s">
        <v>36</v>
      </c>
      <c r="C32" s="31" t="n">
        <f aca="false">IFERROR(VLOOKUP(B9,'MOSFET Reference Table'!$A:$G,7,0),0)</f>
        <v>12</v>
      </c>
      <c r="D32" s="32" t="s">
        <v>30</v>
      </c>
      <c r="E32" s="8"/>
      <c r="F32" s="8"/>
      <c r="G32" s="9"/>
      <c r="H32" s="8" t="str">
        <f aca="false">IF(AND(B9&lt;&gt;"-- Select MOSFET --",IFERROR(VLOOKUP(B9,'MOSFET Reference Table'!$A:$A,1,0),"not found")="not found"),"⚠ MOSFET not in reference table — Coss returned as 0 pF. C1_ext (C33) will be over-estimated. Add device to the MOSFET Reference Table.","")</f>
        <v/>
      </c>
      <c r="I32" s="8"/>
      <c r="J32" s="10"/>
      <c r="K32" s="8"/>
    </row>
    <row r="33" customFormat="false" ht="53.25" hidden="false" customHeight="true" outlineLevel="0" collapsed="false">
      <c r="A33" s="6"/>
      <c r="B33" s="8" t="s">
        <v>37</v>
      </c>
      <c r="C33" s="34" t="n">
        <f aca="false">IFERROR(IF(NOT(ISNUMBER(C49)),IF(NOT(ISNUMBER(C48)),C48,"⚠ C1_ext invalid — check QL input (C19) and frequency (C18)"),IF(C49-C32*$C$36&lt;0,"🚨 OVER-CAPACITANCE: Coss_eff ("&amp;TEXT(C32*$C$36,"0.0")&amp;" pF) &gt; C1_req ("&amp;TEXT(C49,"0.0")&amp;" pF). Select a device with lower Coss, reduce f, or increase Pout/Vcc.",MAX(C49-C32*$C$36,0))),0)</f>
        <v>73.1311809050057</v>
      </c>
      <c r="D33" s="32" t="s">
        <v>30</v>
      </c>
      <c r="E33" s="8"/>
      <c r="F33" s="8"/>
      <c r="G33" s="9"/>
      <c r="H33" s="8"/>
      <c r="I33" s="8"/>
      <c r="J33" s="10"/>
      <c r="K33" s="8"/>
    </row>
    <row r="34" customFormat="false" ht="15" hidden="false" customHeight="true" outlineLevel="0" collapsed="false">
      <c r="A34" s="6"/>
      <c r="B34" s="8" t="s">
        <v>38</v>
      </c>
      <c r="C34" s="31" t="n">
        <v>0</v>
      </c>
      <c r="D34" s="32" t="s">
        <v>39</v>
      </c>
      <c r="E34" s="8"/>
      <c r="F34" s="8"/>
      <c r="G34" s="9"/>
      <c r="H34" s="8"/>
      <c r="I34" s="8"/>
      <c r="J34" s="10"/>
      <c r="K34" s="8"/>
    </row>
    <row r="35" customFormat="false" ht="15" hidden="false" customHeight="true" outlineLevel="0" collapsed="false">
      <c r="A35" s="6"/>
      <c r="B35" s="8" t="s">
        <v>40</v>
      </c>
      <c r="C35" s="31" t="n">
        <v>0</v>
      </c>
      <c r="D35" s="32" t="s">
        <v>12</v>
      </c>
      <c r="E35" s="8"/>
      <c r="F35" s="8"/>
      <c r="G35" s="9"/>
      <c r="H35" s="8"/>
      <c r="I35" s="8"/>
      <c r="J35" s="10"/>
      <c r="K35" s="8"/>
    </row>
    <row r="36" customFormat="false" ht="144.75" hidden="false" customHeight="true" outlineLevel="0" collapsed="false">
      <c r="A36" s="6"/>
      <c r="B36" s="8" t="s">
        <v>41</v>
      </c>
      <c r="C36" s="31" t="n">
        <f aca="false">IFERROR(VLOOKUP(B9,'MOSFET Reference Table'!$A:$O,15,0),0.35)</f>
        <v>0.4</v>
      </c>
      <c r="D36" s="32" t="s">
        <v>18</v>
      </c>
      <c r="E36" s="8"/>
      <c r="F36" s="33" t="s">
        <v>42</v>
      </c>
      <c r="G36" s="33" t="s">
        <v>43</v>
      </c>
      <c r="H36" s="35" t="n">
        <f aca="false">IFERROR(IF(VLOOKUP(B9,'MOSFET Reference Table'!$A:$P,16,0)="Si-planar",0.4,IF(VLOOKUP(B9,'MOSFET Reference Table'!$A:$P,16,0)="Si-DMOS",0.35,IF(VLOOKUP(B9,'MOSFET Reference Table'!$A:$P,16,0)="LDMOS",0.08,IF(VLOOKUP(B9,'MOSFET Reference Table'!$A:$P,16,0)="GaN",0.05,0.25)))),0.25)</f>
        <v>0.4</v>
      </c>
      <c r="I36" s="17" t="n">
        <f aca="false">H36</f>
        <v>0.4</v>
      </c>
      <c r="J36" s="10" t="s">
        <v>44</v>
      </c>
      <c r="K36" s="8"/>
    </row>
    <row r="37" customFormat="false" ht="27" hidden="false" customHeight="true" outlineLevel="0" collapsed="false">
      <c r="A37" s="6"/>
      <c r="B37" s="8" t="s">
        <v>45</v>
      </c>
      <c r="C37" s="31" t="n">
        <v>3</v>
      </c>
      <c r="D37" s="32" t="s">
        <v>18</v>
      </c>
      <c r="E37" s="8"/>
      <c r="F37" s="33" t="s">
        <v>46</v>
      </c>
      <c r="G37" s="9"/>
      <c r="H37" s="8"/>
      <c r="I37" s="8"/>
      <c r="J37" s="10"/>
      <c r="K37" s="8"/>
    </row>
    <row r="38" customFormat="false" ht="15" hidden="false" customHeight="true" outlineLevel="0" collapsed="false">
      <c r="A38" s="6"/>
      <c r="B38" s="8"/>
      <c r="C38" s="31"/>
      <c r="D38" s="9"/>
      <c r="E38" s="8"/>
      <c r="F38" s="8"/>
      <c r="G38" s="9"/>
      <c r="H38" s="8"/>
      <c r="I38" s="8"/>
      <c r="J38" s="10"/>
      <c r="K38" s="8"/>
    </row>
    <row r="39" customFormat="false" ht="15" hidden="false" customHeight="true" outlineLevel="0" collapsed="false">
      <c r="A39" s="6"/>
      <c r="B39" s="36" t="s">
        <v>47</v>
      </c>
      <c r="C39" s="37"/>
      <c r="D39" s="6"/>
      <c r="E39" s="8"/>
      <c r="F39" s="33" t="str">
        <f aca="false">IF(NOT(ISNUMBER(C42)),"—",IF(0.576801*(1.0000086-0.414395/C19-0.577501/C19^2+0.205967/C19^3)*(C16-C35-C20)^2&lt;4*(C22+C30+1.365*IFERROR(VLOOKUP(B9,'MOSFET Reference Table'!$A:$E,5,0)*1,0)+0.2116*C31)*C17,"⚠ LOW EFFICIENCY: Device Rds(on) losses are high relative to R_opt — predicted η &lt; ~80% at this design point. This is a design quality warning, not a hard limit. "&amp;"Reduce Pout, increase Vcc, or select a lower Rds(on) device. Max Pout ≈ "&amp;TEXT(0.576801*(1.0000086-0.414395/C19-0.577501/C19^2+0.205967/C19^3)*(C16-C35-C20)^2/(4*(C22+C30+1.365*IFERROR(VLOOKUP(B9,'MOSFET Reference Table'!$A:$E,5,0)*1,0)+0.2116*C31)),"0.000")&amp;" W","✅ Operating point is feasible — iterate."))</f>
        <v>✅ Operating point is feasible — iterate.</v>
      </c>
      <c r="G39" s="38"/>
      <c r="H39" s="8"/>
      <c r="I39" s="8"/>
      <c r="J39" s="10"/>
      <c r="K39" s="8"/>
    </row>
    <row r="40" customFormat="false" ht="15" hidden="false" customHeight="true" outlineLevel="0" collapsed="false">
      <c r="A40" s="6"/>
      <c r="B40" s="29" t="s">
        <v>8</v>
      </c>
      <c r="C40" s="29" t="s">
        <v>9</v>
      </c>
      <c r="D40" s="30" t="s">
        <v>10</v>
      </c>
      <c r="E40" s="29"/>
      <c r="F40" s="30" t="s">
        <v>48</v>
      </c>
      <c r="G40" s="30"/>
      <c r="H40" s="29"/>
      <c r="I40" s="29"/>
      <c r="J40" s="10"/>
      <c r="K40" s="8"/>
    </row>
    <row r="41" customFormat="false" ht="15" hidden="false" customHeight="true" outlineLevel="0" collapsed="false">
      <c r="A41" s="6"/>
      <c r="B41" s="8" t="s">
        <v>49</v>
      </c>
      <c r="C41" s="18" t="n">
        <f aca="false">2*PI()*C18*1000000</f>
        <v>87964594.3005142</v>
      </c>
      <c r="D41" s="32" t="s">
        <v>50</v>
      </c>
      <c r="E41" s="8"/>
      <c r="F41" s="33" t="s">
        <v>51</v>
      </c>
      <c r="G41" s="9"/>
      <c r="H41" s="8"/>
      <c r="I41" s="8"/>
      <c r="J41" s="10"/>
      <c r="K41" s="8"/>
    </row>
    <row r="42" customFormat="false" ht="66.75" hidden="false" customHeight="true" outlineLevel="0" collapsed="false">
      <c r="A42" s="6"/>
      <c r="B42" s="8" t="s">
        <v>52</v>
      </c>
      <c r="C42" s="18" t="n">
        <f aca="false">IF(C19&lt;=1.7879,"⚠ QL≤min (1.7879) — C2→∞, Class-E boundary",(C44^2/C17)*0.576801*(1.0000086-0.414395/C19-0.577501/C19^2+0.205967/C19^3))</f>
        <v>32.289222500631</v>
      </c>
      <c r="D42" s="32" t="s">
        <v>22</v>
      </c>
      <c r="E42" s="8"/>
      <c r="F42" s="33" t="s">
        <v>53</v>
      </c>
      <c r="G42" s="9"/>
      <c r="H42" s="8"/>
      <c r="I42" s="8"/>
      <c r="J42" s="10"/>
      <c r="K42" s="8"/>
    </row>
    <row r="43" customFormat="false" ht="105.75" hidden="false" customHeight="true" outlineLevel="0" collapsed="false">
      <c r="A43" s="6"/>
      <c r="B43" s="8" t="s">
        <v>54</v>
      </c>
      <c r="C43" s="18" t="n">
        <f aca="false">C17/(C44*IF(ISNUMBER(C88),C88,C21))</f>
        <v>0.106188239127576</v>
      </c>
      <c r="D43" s="32" t="s">
        <v>55</v>
      </c>
      <c r="E43" s="8"/>
      <c r="F43" s="33" t="s">
        <v>56</v>
      </c>
      <c r="G43" s="9"/>
      <c r="H43" s="8"/>
      <c r="I43" s="8"/>
      <c r="J43" s="10"/>
      <c r="K43" s="8"/>
    </row>
    <row r="44" customFormat="false" ht="27" hidden="false" customHeight="true" outlineLevel="0" collapsed="false">
      <c r="A44" s="6"/>
      <c r="B44" s="8" t="s">
        <v>57</v>
      </c>
      <c r="C44" s="18" t="n">
        <f aca="false">C16-C35-C20</f>
        <v>5</v>
      </c>
      <c r="D44" s="32" t="s">
        <v>12</v>
      </c>
      <c r="E44" s="8"/>
      <c r="F44" s="33" t="s">
        <v>58</v>
      </c>
      <c r="G44" s="9"/>
      <c r="H44" s="8"/>
      <c r="I44" s="8"/>
      <c r="J44" s="10"/>
      <c r="K44" s="8"/>
    </row>
    <row r="45" customFormat="false" ht="15" hidden="false" customHeight="true" outlineLevel="0" collapsed="false">
      <c r="A45" s="6"/>
      <c r="B45" s="7"/>
      <c r="C45" s="7"/>
      <c r="D45" s="6"/>
      <c r="E45" s="8"/>
      <c r="F45" s="9"/>
      <c r="G45" s="9"/>
      <c r="H45" s="8"/>
      <c r="I45" s="8"/>
      <c r="J45" s="10"/>
      <c r="K45" s="8"/>
    </row>
    <row r="46" customFormat="false" ht="15" hidden="false" customHeight="true" outlineLevel="0" collapsed="false">
      <c r="A46" s="6"/>
      <c r="B46" s="37" t="s">
        <v>59</v>
      </c>
      <c r="C46" s="7"/>
      <c r="D46" s="6"/>
      <c r="E46" s="8"/>
      <c r="F46" s="9"/>
      <c r="G46" s="9"/>
      <c r="H46" s="8"/>
      <c r="I46" s="8"/>
      <c r="J46" s="10"/>
      <c r="K46" s="8"/>
    </row>
    <row r="47" customFormat="false" ht="15" hidden="false" customHeight="true" outlineLevel="0" collapsed="false">
      <c r="A47" s="6"/>
      <c r="B47" s="29" t="s">
        <v>8</v>
      </c>
      <c r="C47" s="29" t="s">
        <v>9</v>
      </c>
      <c r="D47" s="30" t="s">
        <v>10</v>
      </c>
      <c r="E47" s="29" t="s">
        <v>60</v>
      </c>
      <c r="F47" s="30" t="s">
        <v>48</v>
      </c>
      <c r="G47" s="39"/>
      <c r="H47" s="29"/>
      <c r="I47" s="29"/>
      <c r="J47" s="10"/>
      <c r="K47" s="8"/>
    </row>
    <row r="48" customFormat="false" ht="157.5" hidden="false" customHeight="true" outlineLevel="0" collapsed="false">
      <c r="A48" s="6"/>
      <c r="B48" s="8" t="s">
        <v>61</v>
      </c>
      <c r="C48" s="18" t="n">
        <f aca="false">IFERROR(IF(C19&lt;=1.7879,"⚠ QL≤min (1.7879) — C2→∞, Class-E boundary",IF(C18&lt;=0,"⚠ Frequency must be &gt; 0 MHz",IF(NOT(ISNUMBER(C42)),0,(0.99866+0.91424/C19-1.03175/C19^2)/(5.4466*C41*C42)+IFERROR(0.6/(C41^2*C54),0)))),0)</f>
        <v>7.79311809050057E-011</v>
      </c>
      <c r="D48" s="32" t="s">
        <v>62</v>
      </c>
      <c r="E48" s="8"/>
      <c r="F48" s="33" t="s">
        <v>63</v>
      </c>
      <c r="G48" s="33" t="str">
        <f aca="false">IF(ISNUMBER(C19),IF(C19&gt;=1.7879,"ℹ C1 polynomial accuracy: ±0.18% vs Sokal Table I across all valid QL (1.7879–∞). RFC correction (+0.6/(ω²·L_RFC)) adds ~"&amp;TEXT(0.6/(C41^2*C54)/C48*100,"0.1")&amp;"% to C1_total. Total C1 error &lt; ±0.5%."," "),"—")</f>
        <v>ℹ C1 polynomial accuracy: ±0.18% vs Sokal Table I across all valid QL (1.7879–∞). RFC correction (+0.6/(ω²·L_RFC)) adds ~0% to C1_total. Total C1 error &lt; ±0.5%.</v>
      </c>
      <c r="H48" s="8"/>
      <c r="I48" s="8"/>
      <c r="J48" s="10"/>
      <c r="K48" s="8"/>
    </row>
    <row r="49" customFormat="false" ht="15" hidden="false" customHeight="true" outlineLevel="0" collapsed="false">
      <c r="A49" s="6"/>
      <c r="B49" s="8" t="s">
        <v>64</v>
      </c>
      <c r="C49" s="18" t="n">
        <f aca="false">C48*1000000000000</f>
        <v>77.9311809050057</v>
      </c>
      <c r="D49" s="32" t="s">
        <v>30</v>
      </c>
      <c r="E49" s="40" t="str">
        <f aca="false">IFERROR(IF(ISNUMBER(C49),TEXT(10^INT(LOG10(ABS(C49)+1E-030))*CHOOSE(MATCH(C49/10^INT(LOG10(ABS(C49)+1E-030)),{0,1.048809,1.148913,1.249,1.396424,1.549193,1.697056,1.897367,2.097618,2.297825,2.545584,2.84605,3.146427,3.446738,3.746999,4.095119,4.495553,4.895917,5.344156,5.892368,6.493073,7.141428,7.842194,8.638287,9.539392},1),1,1.1,1.2,1.3,1.5,1.6,1.8,2,2.2,2.4,2.7,3,3.3,3.6,3.9,4.3,4.7,5.1,5.6,6.2,6.8,7.5,8.2,9.1,10),"0.##")&amp;" "&amp;D49,C49),"—")</f>
        <v>075 pF</v>
      </c>
      <c r="F49" s="33" t="s">
        <v>65</v>
      </c>
      <c r="G49" s="38"/>
      <c r="H49" s="8"/>
      <c r="I49" s="8"/>
      <c r="J49" s="10"/>
      <c r="K49" s="8"/>
    </row>
    <row r="50" customFormat="false" ht="27" hidden="false" customHeight="true" outlineLevel="0" collapsed="false">
      <c r="A50" s="6"/>
      <c r="B50" s="8" t="s">
        <v>66</v>
      </c>
      <c r="C50" s="18" t="n">
        <f aca="false">IFERROR(IF(C19&lt;=1.7879,"⚠ QL≤min (1.7879) — C2→∞, Class-E boundary",IF(C18&lt;=0,"⚠ Frequency must be &gt; 0 MHz",C19*C42/C41)),0)</f>
        <v>1.83535334627481E-006</v>
      </c>
      <c r="D50" s="32" t="s">
        <v>67</v>
      </c>
      <c r="E50" s="40"/>
      <c r="F50" s="33" t="s">
        <v>68</v>
      </c>
      <c r="G50" s="9"/>
      <c r="H50" s="8"/>
      <c r="I50" s="8"/>
      <c r="J50" s="10"/>
      <c r="K50" s="8"/>
    </row>
    <row r="51" customFormat="false" ht="15" hidden="false" customHeight="true" outlineLevel="0" collapsed="false">
      <c r="A51" s="6"/>
      <c r="B51" s="8" t="s">
        <v>69</v>
      </c>
      <c r="C51" s="18" t="n">
        <f aca="false">C50*1000000</f>
        <v>1.83535334627481</v>
      </c>
      <c r="D51" s="32" t="s">
        <v>70</v>
      </c>
      <c r="E51" s="40" t="str">
        <f aca="false">IFERROR(IF(ISNUMBER(C51),TEXT(10^INT(LOG10(ABS(C51)+1E-030))*CHOOSE(MATCH(C51/10^INT(LOG10(ABS(C51)+1E-030)),{0,1.048809,1.148913,1.249,1.396424,1.549193,1.697056,1.897367,2.097618,2.297825,2.545584,2.84605,3.146427,3.446738,3.746999,4.095119,4.495553,4.895917,5.344156,5.892368,6.493073,7.141428,7.842194,8.638287,9.539392},1),1,1.1,1.2,1.3,1.5,1.6,1.8,2,2.2,2.4,2.7,3,3.3,3.6,3.9,4.3,4.7,5.1,5.6,6.2,6.8,7.5,8.2,9.1,10),"0.##")&amp;" "&amp;D51,C51),"—")</f>
        <v>02 µH</v>
      </c>
      <c r="F51" s="33" t="s">
        <v>71</v>
      </c>
      <c r="G51" s="9"/>
      <c r="H51" s="8"/>
      <c r="I51" s="8"/>
      <c r="J51" s="10"/>
      <c r="K51" s="8"/>
    </row>
    <row r="52" customFormat="false" ht="40.5" hidden="false" customHeight="true" outlineLevel="0" collapsed="false">
      <c r="A52" s="6"/>
      <c r="B52" s="8" t="s">
        <v>72</v>
      </c>
      <c r="C52" s="18" t="n">
        <f aca="false">IFERROR(IF(C19&lt;=1.7879,"⚠ QL≤min (1.7879) — C2→∞, Class-E boundary",IF(C18&lt;=0,"⚠ Frequency must be &gt; 0 MHz",IF((1/(C41*C42))*(1/(C19-0.104823))*(1.00121+1.01468/(C19-1.7879))-IFERROR(0.2/(C41^2*C54),0)&lt;0,"⚠ C2 = 0: RFC correction exceeds base C2 at this QL — omitting C2 destroys Class-E operation. Increase QL or reduce RFC inductance.",(1/(C41*C42))*(1/(C19-0.104823))*(1.00121+1.01468/(C19-1.7879))-IFERROR(0.2/(C41^2*C54),0)))),0)</f>
        <v>9.33213357582762E-011</v>
      </c>
      <c r="D52" s="32" t="s">
        <v>62</v>
      </c>
      <c r="E52" s="40" t="str">
        <f aca="false">IF(ISNUMBER(C19),IF(C19&lt;=1.7879,"⚠ QL≤min (1.7879) — C2→∞, Class-E boundary",IF(C19&lt;1.9,"⚠ QL very close to minimum (1.7879) — verify with LTspice before building","")),"")</f>
        <v/>
      </c>
      <c r="F52" s="33" t="str">
        <f aca="false">IF(C19&gt;20,"ℹ QL&gt;20: Sokal Eq.9 — C2·ω·R = (1/(QL−0.104823))×(1.00121+1.01468/(QL−1.7879)). Accuracy ±0.072% vs Table I across all valid QL. At very high QL, C2 is dominated by stray capacitance — fine-tune with LTspice or VNA.","Sokal AACD 2001 Eq.9 rational fit (accuracy ±0.072% vs Table I): C2·ω·R = [1/(QL−0.104823)]×[1.00121+1.01468/(QL−1.7879)]. RFC correction −0.2/(ω²·L_RFC) applied. Valid for all QL ≥ 1.7879.")</f>
        <v>Sokal AACD 2001 Eq.9 rational fit (accuracy ±0.072% vs Table I): C2·ω·R = [1/(QL−0.104823)]×[1.00121+1.01468/(QL−1.7879)]. RFC correction −0.2/(ω²·L_RFC) applied. Valid for all QL ≥ 1.7879.</v>
      </c>
      <c r="G52" s="9"/>
      <c r="H52" s="8"/>
      <c r="I52" s="8"/>
      <c r="J52" s="10"/>
      <c r="K52" s="8"/>
    </row>
    <row r="53" customFormat="false" ht="15" hidden="false" customHeight="true" outlineLevel="0" collapsed="false">
      <c r="A53" s="6"/>
      <c r="B53" s="8" t="s">
        <v>73</v>
      </c>
      <c r="C53" s="18" t="n">
        <f aca="false">IF(ISNUMBER(C52),C52*1000000000000,C52)</f>
        <v>93.3213357582762</v>
      </c>
      <c r="D53" s="32" t="s">
        <v>30</v>
      </c>
      <c r="E53" s="40" t="str">
        <f aca="false">IFERROR(IF(ISNUMBER(C53),TEXT(10^INT(LOG10(ABS(C53)+1E-030))*CHOOSE(MATCH(C53/10^INT(LOG10(ABS(C53)+1E-030)),{0,1.048809,1.148913,1.249,1.396424,1.549193,1.697056,1.897367,2.097618,2.297825,2.545584,2.84605,3.146427,3.446738,3.746999,4.095119,4.495553,4.895917,5.344156,5.892368,6.493073,7.141428,7.842194,8.638287,9.539392},1),1,1.1,1.2,1.3,1.5,1.6,1.8,2,2.2,2.4,2.7,3,3.3,3.6,3.9,4.3,4.7,5.1,5.6,6.2,6.8,7.5,8.2,9.1,10),"0.##")&amp;" "&amp;D53,C53),"—")</f>
        <v>091 pF</v>
      </c>
      <c r="F53" s="33" t="s">
        <v>74</v>
      </c>
      <c r="G53" s="9"/>
      <c r="H53" s="8"/>
      <c r="I53" s="8"/>
      <c r="J53" s="10"/>
      <c r="K53" s="8"/>
    </row>
    <row r="54" customFormat="false" ht="132" hidden="false" customHeight="true" outlineLevel="0" collapsed="false">
      <c r="A54" s="6"/>
      <c r="B54" s="8" t="s">
        <v>75</v>
      </c>
      <c r="C54" s="18" t="n">
        <f aca="false">IF(AND(ISNUMBER(C42),C18&gt;0),50*C42/C41,"⚠ R invalid or f=0 — set QL ≥ 1.7879 and f &gt; 0 first")</f>
        <v>1.83535334627481E-005</v>
      </c>
      <c r="D54" s="32" t="s">
        <v>67</v>
      </c>
      <c r="E54" s="40"/>
      <c r="F54" s="33" t="s">
        <v>76</v>
      </c>
      <c r="G54" s="33" t="str">
        <f aca="false">IF(ISNUMBER(C42),IF(ABS(C55-50*C42/C41*1000000)&gt;0.01*50*C42/C41*1000000,"⚠ RFC OVERRIDE DETECTED: C55 ("&amp;TEXT(C55,"0.000")&amp;" µH) ≠ default 50·R/ω ("&amp;TEXT(50*C42/C41*1000000,"0.000")&amp;" µH). ⚠ IMPORTANT: C1 and C2 reference C54 (Henrys). To correctly override RFC: type your value ÷ 1000000 (in Henrys) into C54 only, replacing its formula. C55 auto-updates to µH. Do NOT manually override C55 — this disconnects it from C54. If you only change C55, C1 and C2 do NOT update. Re-verify ZVS after any RFC change.","✅ RFC = default 50·R/ω — C1 and C2 corrections are self-consistent. ℹ To use a custom RFC: enter µH value in C55 AND enter the same value÷1e6 directly into C54 (replacing formula)."),"—")</f>
        <v>✅ RFC = default 50·R/ω — C1 and C2 corrections are self-consistent. ℹ To use a custom RFC: enter µH value in C55 AND enter the same value÷1e6 directly into C54 (replacing formula).</v>
      </c>
      <c r="H54" s="33" t="s">
        <v>77</v>
      </c>
      <c r="I54" s="17"/>
      <c r="J54" s="10"/>
      <c r="K54" s="8"/>
    </row>
    <row r="55" customFormat="false" ht="105.75" hidden="false" customHeight="true" outlineLevel="0" collapsed="false">
      <c r="A55" s="6"/>
      <c r="B55" s="8" t="s">
        <v>78</v>
      </c>
      <c r="C55" s="18" t="n">
        <f aca="false">IFERROR(IF(ISNUMBER(C54),C54*1000000,C54),"⚠ RFC formula error in C54")</f>
        <v>18.3535334627481</v>
      </c>
      <c r="D55" s="32" t="s">
        <v>70</v>
      </c>
      <c r="E55" s="40" t="str">
        <f aca="false">IFERROR(IF(ISNUMBER(C55),TEXT(10^INT(LOG10(ABS(C55)+1E-030))*CHOOSE(MATCH(C55/10^INT(LOG10(ABS(C55)+1E-030)),{0,1.048809,1.148913,1.249,1.396424,1.549193,1.697056,1.897367,2.097618,2.297825,2.545584,2.84605,3.146427,3.446738,3.746999,4.095119,4.495553,4.895917,5.344156,5.892368,6.493073,7.141428,7.842194,8.638287,9.539392},1),1,1.1,1.2,1.3,1.5,1.6,1.8,2,2.2,2.4,2.7,3,3.3,3.6,3.9,4.3,4.7,5.1,5.6,6.2,6.8,7.5,8.2,9.1,10),"0.##")&amp;" "&amp;D55,C55),"—")</f>
        <v>018 µH</v>
      </c>
      <c r="F55" s="33" t="str">
        <f aca="false">"RFC winding Q: wind on core with unloaded Q &gt; 100 at "&amp;TEXT(C18,"0")&amp;" MHz (this is the coil's own winding Q, not the reactance-to-R ratio). ⚠ SRF CHECK: Verify RFC self-resonant frequency (SRF) &gt; 10× operating frequency, i.e. SRF &gt; "&amp;TEXT(10*C18,"0")&amp;" MHz for this design. At HF, a large RFC inductance may self-resonate at or below the operating frequency and act as a capacitor — measure SRF with a VNA before installation. Saturation check: ensure core does not saturate at I_dc = "&amp;TEXT(C43,"0.000")&amp;" A (C43). Sokal QEX 2001: choke reactance ≥ 30×R; RFC (C54) uses 50×R/ω for margin."</f>
        <v>RFC winding Q: wind on core with unloaded Q &gt; 100 at 14 MHz (this is the coil's own winding Q, not the reactance-to-R ratio). ⚠ SRF CHECK: Verify RFC self-resonant frequency (SRF) &gt; 10× operating frequency, i.e. SRF &gt; 140 MHz for this design. At HF, a large RFC inductance may self-resonate at or below the operating frequency and act as a capacitor — measure SRF with a VNA before installation. Saturation check: ensure core does not saturate at I_dc = 0.000 A (C43). Sokal QEX 2001: choke reactance ≥ 30×R; RFC (C54) uses 50×R/ω for margin.</v>
      </c>
      <c r="G55" s="9"/>
      <c r="H55" s="33" t="str">
        <f aca="false">IF(C18&gt;10,"⚠ At "&amp;TEXT(C18,"0")&amp;" MHz, RFC SRF requirement is &gt; "&amp;TEXT(10*C18,"0")&amp;" MHz — very difficult for wound inductors. Consider a bias tee or SMD choke.","RFC SRF must be &gt; "&amp;TEXT(10*C18,"0")&amp;" MHz (10× operating freq)")</f>
        <v>⚠ At 14 MHz, RFC SRF requirement is &gt; 140 MHz — very difficult for wound inductors. Consider a bias tee or SMD choke.</v>
      </c>
      <c r="I55" s="8"/>
      <c r="J55" s="10"/>
      <c r="K55" s="8"/>
    </row>
    <row r="56" customFormat="false" ht="40.5" hidden="false" customHeight="true" outlineLevel="0" collapsed="false">
      <c r="A56" s="6"/>
      <c r="B56" s="8" t="s">
        <v>79</v>
      </c>
      <c r="C56" s="18" t="n">
        <f aca="false">IF(C19&lt;=1.7879,"⚠ QL≤min (1.7879) — C2→∞, Class-E boundary",IF(NOT(ISNUMBER(C52)),"⚠ C2 invalid",C50-1/(C52*C41^2)))</f>
        <v>4.50501719630906E-007</v>
      </c>
      <c r="D56" s="32" t="s">
        <v>67</v>
      </c>
      <c r="E56" s="40" t="str">
        <f aca="false">IF(ISNUMBER(C56),IF(C56&lt;0,"🚨 L_ser&lt;0: C2 too large or QL too low — L2-C2 branch is net capacitive. Increase QL or reduce C2 to restore Class-E operating condition.",IF(AND(ISNUMBER(C50),C56&lt;0.05*C50),"⚠ L_ser very small (&lt;5% of L2) — branch barely inductive. Poor ZVS likely without triggering zero-crossing alarm. Verify with LTspice before building.","✅ L_ser&gt;0 OK — L2-C2 branch correctly inductive at ω")),"")</f>
        <v>✅ L_ser&gt;0 OK — L2-C2 branch correctly inductive at ω</v>
      </c>
      <c r="F56" s="33" t="s">
        <v>80</v>
      </c>
      <c r="G56" s="9"/>
      <c r="H56" s="8"/>
      <c r="I56" s="8"/>
      <c r="J56" s="10"/>
      <c r="K56" s="8"/>
    </row>
    <row r="57" customFormat="false" ht="40.5" hidden="false" customHeight="true" outlineLevel="0" collapsed="false">
      <c r="A57" s="6"/>
      <c r="B57" s="8" t="s">
        <v>81</v>
      </c>
      <c r="C57" s="18" t="n">
        <f aca="false">IF(ISNUMBER(C56),C56*1000000,C56)</f>
        <v>0.450501719630906</v>
      </c>
      <c r="D57" s="32" t="s">
        <v>70</v>
      </c>
      <c r="E57" s="40"/>
      <c r="F57" s="33" t="s">
        <v>82</v>
      </c>
      <c r="G57" s="9"/>
      <c r="H57" s="8"/>
      <c r="I57" s="8"/>
      <c r="J57" s="10"/>
      <c r="K57" s="8"/>
    </row>
    <row r="58" customFormat="false" ht="53.25" hidden="false" customHeight="true" outlineLevel="0" collapsed="false">
      <c r="A58" s="6"/>
      <c r="B58" s="8" t="s">
        <v>83</v>
      </c>
      <c r="C58" s="18" t="n">
        <f aca="false">IF(C19&lt;=1.7879,"⚠ QL≤min (1.7879) — C2→∞, Class-E boundary",IF(NOT(ISNUMBER(C52)),"⚠ C2 invalid — check QL/frequency",C50))</f>
        <v>1.83535334627481E-006</v>
      </c>
      <c r="D58" s="32" t="s">
        <v>67</v>
      </c>
      <c r="E58" s="40"/>
      <c r="F58" s="33" t="s">
        <v>84</v>
      </c>
      <c r="G58" s="9"/>
      <c r="H58" s="8"/>
      <c r="I58" s="8"/>
      <c r="J58" s="10"/>
      <c r="K58" s="8"/>
    </row>
    <row r="59" customFormat="false" ht="27" hidden="false" customHeight="true" outlineLevel="0" collapsed="false">
      <c r="A59" s="6"/>
      <c r="B59" s="8" t="s">
        <v>85</v>
      </c>
      <c r="C59" s="18" t="n">
        <f aca="false">IF(ISNUMBER(C58),C58*1000000,C58)</f>
        <v>1.83535334627481</v>
      </c>
      <c r="D59" s="32" t="s">
        <v>70</v>
      </c>
      <c r="E59" s="40" t="str">
        <f aca="false">IFERROR(IF(ISNUMBER(C59),TEXT(10^INT(LOG10(ABS(C59)+1E-030))*CHOOSE(MATCH(C59/10^INT(LOG10(ABS(C59)+1E-030)),{0,1.048809,1.148913,1.249,1.396424,1.549193,1.697056,1.897367,2.097618,2.297825,2.545584,2.84605,3.146427,3.446738,3.746999,4.095119,4.495553,4.895917,5.344156,5.892368,6.493073,7.141428,7.842194,8.638287,9.539392},1),1,1.1,1.2,1.3,1.5,1.6,1.8,2,2.2,2.4,2.7,3,3.3,3.6,3.9,4.3,4.7,5.1,5.6,6.2,6.8,7.5,8.2,9.1,10),"0.##")&amp;" "&amp;D59,C59),"—")</f>
        <v>02 µH</v>
      </c>
      <c r="F59" s="33" t="s">
        <v>86</v>
      </c>
      <c r="G59" s="9"/>
      <c r="H59" s="8"/>
      <c r="I59" s="8"/>
      <c r="J59" s="10"/>
      <c r="K59" s="8"/>
    </row>
    <row r="60" customFormat="false" ht="15" hidden="false" customHeight="true" outlineLevel="0" collapsed="false">
      <c r="A60" s="6"/>
      <c r="B60" s="7"/>
      <c r="C60" s="7"/>
      <c r="D60" s="6"/>
      <c r="E60" s="8"/>
      <c r="F60" s="9"/>
      <c r="G60" s="9"/>
      <c r="H60" s="8"/>
      <c r="I60" s="8"/>
      <c r="J60" s="10"/>
      <c r="K60" s="8"/>
    </row>
    <row r="61" customFormat="false" ht="15" hidden="false" customHeight="true" outlineLevel="0" collapsed="false">
      <c r="A61" s="6"/>
      <c r="B61" s="36" t="s">
        <v>87</v>
      </c>
      <c r="C61" s="7"/>
      <c r="D61" s="6"/>
      <c r="E61" s="8"/>
      <c r="F61" s="9"/>
      <c r="G61" s="9"/>
      <c r="H61" s="8"/>
      <c r="I61" s="8"/>
      <c r="J61" s="10"/>
      <c r="K61" s="8"/>
    </row>
    <row r="62" customFormat="false" ht="15" hidden="false" customHeight="true" outlineLevel="0" collapsed="false">
      <c r="A62" s="6"/>
      <c r="B62" s="29" t="s">
        <v>8</v>
      </c>
      <c r="C62" s="29" t="s">
        <v>9</v>
      </c>
      <c r="D62" s="30" t="s">
        <v>10</v>
      </c>
      <c r="E62" s="29" t="s">
        <v>60</v>
      </c>
      <c r="F62" s="30" t="s">
        <v>48</v>
      </c>
      <c r="G62" s="30"/>
      <c r="H62" s="29"/>
      <c r="I62" s="29"/>
      <c r="J62" s="10"/>
      <c r="K62" s="8"/>
    </row>
    <row r="63" customFormat="false" ht="15" hidden="false" customHeight="true" outlineLevel="0" collapsed="false">
      <c r="A63" s="6"/>
      <c r="B63" s="8" t="s">
        <v>88</v>
      </c>
      <c r="C63" s="18" t="n">
        <f aca="false">C42</f>
        <v>32.289222500631</v>
      </c>
      <c r="D63" s="32" t="s">
        <v>22</v>
      </c>
      <c r="E63" s="8"/>
      <c r="F63" s="33" t="s">
        <v>89</v>
      </c>
      <c r="G63" s="9"/>
      <c r="H63" s="8"/>
      <c r="I63" s="8"/>
      <c r="J63" s="10"/>
      <c r="K63" s="8"/>
    </row>
    <row r="64" customFormat="false" ht="15" hidden="false" customHeight="true" outlineLevel="0" collapsed="false">
      <c r="A64" s="6"/>
      <c r="B64" s="8" t="s">
        <v>90</v>
      </c>
      <c r="C64" s="18" t="n">
        <f aca="false">C25</f>
        <v>50</v>
      </c>
      <c r="D64" s="32" t="s">
        <v>22</v>
      </c>
      <c r="E64" s="8"/>
      <c r="F64" s="33" t="s">
        <v>91</v>
      </c>
      <c r="G64" s="9"/>
      <c r="H64" s="8"/>
      <c r="I64" s="8"/>
      <c r="J64" s="10"/>
      <c r="K64" s="8"/>
    </row>
    <row r="65" customFormat="false" ht="40.5" hidden="false" customHeight="true" outlineLevel="0" collapsed="false">
      <c r="A65" s="6"/>
      <c r="B65" s="8" t="s">
        <v>92</v>
      </c>
      <c r="C65" s="18" t="n">
        <f aca="false">IF(ABS(C63-C64)&lt;0.01*MAX(C63,C64),0,SQRT(MAX(C63,C64)/MIN(C63,C64)-1))</f>
        <v>0.740610763852502</v>
      </c>
      <c r="D65" s="32" t="s">
        <v>18</v>
      </c>
      <c r="E65" s="8"/>
      <c r="F65" s="33" t="str">
        <f aca="false">IF(ABS(C63-C64)&lt;0.01*MAX(C63,C64),"ℹ R_drain ≈ Z_load — no L-network required. Connect drain circuit directly to load through a separate low-pass filter.",IF(C65&lt;2,"⚠ Low Q_match="&amp;TEXT(C65,"0.00")&amp;": L-network provides minimal harmonic filtering. Add a 5-element LPF for legal HF TX (−50 dBc required per IARU recommendation (−43 dBc per FCC §97.307)).","⚠ L-network gives impedance transform only — no harmonic filtering. Add low-pass filter between amplifier and antenna for regulatory compliance."))</f>
        <v>⚠ Low Q_match=0,74: L-network provides minimal harmonic filtering. Add a 5-element LPF for legal HF TX (−50 dBc required per IARU recommendation (−43 dBc per FCC §97.307)).</v>
      </c>
      <c r="G65" s="9"/>
      <c r="H65" s="8"/>
      <c r="I65" s="8"/>
      <c r="J65" s="10"/>
      <c r="K65" s="8"/>
    </row>
    <row r="66" customFormat="false" ht="66.75" hidden="false" customHeight="true" outlineLevel="0" collapsed="false">
      <c r="A66" s="6"/>
      <c r="B66" s="8" t="s">
        <v>93</v>
      </c>
      <c r="C66" s="18" t="n">
        <f aca="false">IF(C41&lt;=0,0,C65*MIN(C63,C64)/C41)</f>
        <v>2.71856488744767E-007</v>
      </c>
      <c r="D66" s="32" t="s">
        <v>67</v>
      </c>
      <c r="E66" s="8"/>
      <c r="F66" s="33" t="str">
        <f aca="false">IF(C70="Step-UP","Step-UP (R_drain &lt; Z_load): LOW-PASS topology — Series L_match from DRAIN node toward load (LOW-Z), then Shunt C_match at LOAD (HIGH-Z, 50Ω) node to GND. The shunt element is on the LOAD (HIGH-impedance) side. L_match=Q×R_min/ω; C_match=Q/(ω×R_max) where R_max=Z_load. ⚠ C_match is at the LOAD end (NOT the drain end).","Step-DOWN (R_drain &gt; Z_load): Shunt C_match from DRAIN node (high-Z) to GND first; then series L_match from drain toward load. L_match=Q×R_min/ω; C_match=Q/(ω×R_max). ⚠ C_match at DRAIN end (high-Z side).")</f>
        <v>Step-UP (R_drain &lt; Z_load): LOW-PASS topology — Series L_match from DRAIN node toward load (LOW-Z), then Shunt C_match at LOAD (HIGH-Z, 50Ω) node to GND. The shunt element is on the LOAD (HIGH-impedance) side. L_match=Q×R_min/ω; C_match=Q/(ω×R_max) where R_max=Z_load. ⚠ C_match is at the LOAD end (NOT the drain end).</v>
      </c>
      <c r="G66" s="9"/>
      <c r="H66" s="8"/>
      <c r="I66" s="8"/>
      <c r="J66" s="10"/>
      <c r="K66" s="8"/>
    </row>
    <row r="67" customFormat="false" ht="15" hidden="false" customHeight="true" outlineLevel="0" collapsed="false">
      <c r="A67" s="6"/>
      <c r="B67" s="8" t="s">
        <v>94</v>
      </c>
      <c r="C67" s="18" t="n">
        <f aca="false">C66*1000000</f>
        <v>0.271856488744767</v>
      </c>
      <c r="D67" s="32" t="s">
        <v>70</v>
      </c>
      <c r="E67" s="8" t="str">
        <f aca="false">IFERROR(IF(ISNUMBER(C67),TEXT(10^INT(LOG10(ABS(C67)+1E-030))*CHOOSE(MATCH(C67/10^INT(LOG10(ABS(C67)+1E-030)),{0,1.048809,1.148913,1.249,1.396424,1.549193,1.697056,1.897367,2.097618,2.297825,2.545584,2.84605,3.146427,3.446738,3.746999,4.095119,4.495553,4.895917,5.344156,5.892368,6.493073,7.141428,7.842194,8.638287,9.539392},1),1,1.1,1.2,1.3,1.5,1.6,1.8,2,2.2,2.4,2.7,3,3.3,3.6,3.9,4.3,4.7,5.1,5.6,6.2,6.8,7.5,8.2,9.1,10),"0.##")&amp;" "&amp;D67,C67),"—")</f>
        <v>0 µH</v>
      </c>
      <c r="F67" s="8"/>
      <c r="G67" s="9"/>
      <c r="H67" s="8"/>
      <c r="I67" s="8"/>
      <c r="J67" s="10"/>
      <c r="K67" s="8"/>
    </row>
    <row r="68" customFormat="false" ht="53.25" hidden="false" customHeight="true" outlineLevel="0" collapsed="false">
      <c r="A68" s="6"/>
      <c r="B68" s="8" t="s">
        <v>95</v>
      </c>
      <c r="C68" s="18" t="n">
        <f aca="false">IF(C41&lt;=0,0,C65/(C41*MAX(C63,C64)))</f>
        <v>1.68388377105986E-010</v>
      </c>
      <c r="D68" s="32" t="s">
        <v>62</v>
      </c>
      <c r="E68" s="8"/>
      <c r="F68" s="33" t="str">
        <f aca="false">IF(C70="Step-UP","Step-UP: C_match is the SHUNT element at the LOAD (Z_load, 50Ω, HIGH-Z) node — placed AFTER L_match (at the load/antenna end). LOW-PASS topology: Series L from drain → Shunt C at load end. C_match=Q/(ω×Z_load). ⚠ C_match is at the LOAD end, not the drain end.","Step-DOWN: C_match is the SHUNT element at the DRAIN (high-Z) node — placed BEFORE L_match. C_match=Q/(ω×R_drain).")</f>
        <v>Step-UP: C_match is the SHUNT element at the LOAD (Z_load, 50Ω, HIGH-Z) node — placed AFTER L_match (at the load/antenna end). LOW-PASS topology: Series L from drain → Shunt C at load end. C_match=Q/(ω×Z_load). ⚠ C_match is at the LOAD end, not the drain end.</v>
      </c>
      <c r="G68" s="9"/>
      <c r="H68" s="8"/>
      <c r="I68" s="8"/>
      <c r="J68" s="10"/>
      <c r="K68" s="8"/>
    </row>
    <row r="69" customFormat="false" ht="15" hidden="false" customHeight="true" outlineLevel="0" collapsed="false">
      <c r="A69" s="6"/>
      <c r="B69" s="8" t="s">
        <v>96</v>
      </c>
      <c r="C69" s="18" t="n">
        <f aca="false">C68*1000000000000</f>
        <v>168.388377105986</v>
      </c>
      <c r="D69" s="32" t="s">
        <v>30</v>
      </c>
      <c r="E69" s="8" t="str">
        <f aca="false">IFERROR(IF(ISNUMBER(C69),TEXT(10^INT(LOG10(ABS(C69)+1E-030))*CHOOSE(MATCH(C69/10^INT(LOG10(ABS(C69)+1E-030)),{0,1.048809,1.148913,1.249,1.396424,1.549193,1.697056,1.897367,2.097618,2.297825,2.545584,2.84605,3.146427,3.446738,3.746999,4.095119,4.495553,4.895917,5.344156,5.892368,6.493073,7.141428,7.842194,8.638287,9.539392},1),1,1.1,1.2,1.3,1.5,1.6,1.8,2,2.2,2.4,2.7,3,3.3,3.6,3.9,4.3,4.7,5.1,5.6,6.2,6.8,7.5,8.2,9.1,10),"0.##")&amp;" "&amp;D69,C69),"—")</f>
        <v>160 pF</v>
      </c>
      <c r="F69" s="8"/>
      <c r="G69" s="9"/>
      <c r="H69" s="8"/>
      <c r="I69" s="8"/>
      <c r="J69" s="10"/>
      <c r="K69" s="8"/>
    </row>
    <row r="70" customFormat="false" ht="105.75" hidden="false" customHeight="true" outlineLevel="0" collapsed="false">
      <c r="A70" s="6"/>
      <c r="B70" s="8" t="s">
        <v>97</v>
      </c>
      <c r="C70" s="41" t="str">
        <f aca="false">IF(C63&lt;C64,"Step-UP","Step-DOWN")</f>
        <v>Step-UP</v>
      </c>
      <c r="D70" s="32"/>
      <c r="E70" s="8"/>
      <c r="F70" s="33" t="s">
        <v>98</v>
      </c>
      <c r="G70" s="9"/>
      <c r="H70" s="8"/>
      <c r="I70" s="8"/>
      <c r="J70" s="10"/>
      <c r="K70" s="8"/>
    </row>
    <row r="71" customFormat="false" ht="15" hidden="false" customHeight="true" outlineLevel="0" collapsed="false">
      <c r="A71" s="6"/>
      <c r="B71" s="7"/>
      <c r="C71" s="7"/>
      <c r="D71" s="6"/>
      <c r="E71" s="8"/>
      <c r="F71" s="9"/>
      <c r="G71" s="9"/>
      <c r="H71" s="8"/>
      <c r="I71" s="8"/>
      <c r="J71" s="10"/>
      <c r="K71" s="8"/>
    </row>
    <row r="72" customFormat="false" ht="15" hidden="false" customHeight="true" outlineLevel="0" collapsed="false">
      <c r="A72" s="6"/>
      <c r="B72" s="36" t="s">
        <v>99</v>
      </c>
      <c r="C72" s="7"/>
      <c r="D72" s="6"/>
      <c r="E72" s="8"/>
      <c r="F72" s="9"/>
      <c r="G72" s="9"/>
      <c r="H72" s="8"/>
      <c r="I72" s="8"/>
      <c r="J72" s="10"/>
      <c r="K72" s="8"/>
    </row>
    <row r="73" customFormat="false" ht="15" hidden="false" customHeight="true" outlineLevel="0" collapsed="false">
      <c r="A73" s="6"/>
      <c r="B73" s="29" t="s">
        <v>8</v>
      </c>
      <c r="C73" s="29" t="s">
        <v>9</v>
      </c>
      <c r="D73" s="30" t="s">
        <v>10</v>
      </c>
      <c r="E73" s="29" t="s">
        <v>60</v>
      </c>
      <c r="F73" s="30" t="s">
        <v>48</v>
      </c>
      <c r="G73" s="30"/>
      <c r="H73" s="29"/>
      <c r="I73" s="29"/>
      <c r="J73" s="10"/>
      <c r="K73" s="8"/>
    </row>
    <row r="74" customFormat="false" ht="27" hidden="false" customHeight="true" outlineLevel="0" collapsed="false">
      <c r="A74" s="6"/>
      <c r="B74" s="8" t="s">
        <v>100</v>
      </c>
      <c r="C74" s="18" t="n">
        <f aca="false">IFERROR(IF(C18&lt;=0,"⚠ Frequency must be &gt; 0 MHz",1/(C41*C27*0.000000000001)),0)</f>
        <v>189.470170347494</v>
      </c>
      <c r="D74" s="32" t="s">
        <v>22</v>
      </c>
      <c r="E74" s="8"/>
      <c r="F74" s="33" t="s">
        <v>101</v>
      </c>
      <c r="G74" s="9"/>
      <c r="H74" s="33" t="str">
        <f aca="false">IF(C74&lt;3*C28,"⚠ Xciss≈Rgate: series-resonance approximation inaccurate. Use full complex-load synthesis (ADS/LTspice recommended).","ℹ Xciss="&amp;TEXT(ROUND(C74,1),"0.0")&amp;"Ω | Rgate="&amp;TEXT(C28,"0")&amp;"Ω | ratio="&amp;TEXT(ROUND(C74/C28,1),"0.0")&amp;"× — series-resonance model ("&amp;IF(C74&gt;3*C28,"accurate","marginal")&amp;")")</f>
        <v>ℹ Xciss=190Ω | Rgate=10Ω | ratio=19× — series-resonance model (accurate)</v>
      </c>
      <c r="I74" s="8"/>
      <c r="J74" s="10"/>
      <c r="K74" s="8"/>
    </row>
    <row r="75" customFormat="false" ht="27" hidden="false" customHeight="true" outlineLevel="0" collapsed="false">
      <c r="A75" s="6"/>
      <c r="B75" s="8" t="s">
        <v>102</v>
      </c>
      <c r="C75" s="18" t="n">
        <f aca="false">SQRT(C74^2+C28^2)</f>
        <v>189.733880610471</v>
      </c>
      <c r="D75" s="32" t="s">
        <v>22</v>
      </c>
      <c r="E75" s="8"/>
      <c r="F75" s="33" t="s">
        <v>103</v>
      </c>
      <c r="G75" s="9"/>
      <c r="H75" s="8"/>
      <c r="I75" s="8"/>
      <c r="J75" s="10"/>
      <c r="K75" s="8"/>
    </row>
    <row r="76" customFormat="false" ht="15" hidden="false" customHeight="true" outlineLevel="0" collapsed="false">
      <c r="A76" s="6"/>
      <c r="B76" s="8" t="s">
        <v>104</v>
      </c>
      <c r="C76" s="18" t="n">
        <f aca="false">C24</f>
        <v>50</v>
      </c>
      <c r="D76" s="32" t="s">
        <v>22</v>
      </c>
      <c r="E76" s="8"/>
      <c r="F76" s="33" t="s">
        <v>105</v>
      </c>
      <c r="G76" s="9"/>
      <c r="H76" s="8"/>
      <c r="I76" s="8"/>
      <c r="J76" s="10"/>
      <c r="K76" s="8"/>
    </row>
    <row r="77" customFormat="false" ht="66.75" hidden="false" customHeight="true" outlineLevel="0" collapsed="false">
      <c r="A77" s="6"/>
      <c r="B77" s="8" t="s">
        <v>106</v>
      </c>
      <c r="C77" s="18" t="n">
        <f aca="false">IF(C28=0,0,SQRT(MAX(MAX(C76,C28)/MIN(C76,C28)-1,0)))</f>
        <v>2</v>
      </c>
      <c r="D77" s="32" t="s">
        <v>18</v>
      </c>
      <c r="E77" s="8"/>
      <c r="F77" s="33" t="s">
        <v>107</v>
      </c>
      <c r="G77" s="9"/>
      <c r="H77" s="8"/>
      <c r="I77" s="8"/>
      <c r="J77" s="10"/>
      <c r="K77" s="8"/>
    </row>
    <row r="78" customFormat="false" ht="105.75" hidden="false" customHeight="true" outlineLevel="0" collapsed="false">
      <c r="A78" s="6"/>
      <c r="B78" s="8" t="s">
        <v>108</v>
      </c>
      <c r="C78" s="18" t="n">
        <f aca="false">IF(C74&lt;3*C28,"⚠ Xciss&lt;3×Rgate: series-resonance model invalid — use complex L-network synthesis (ADS/LTspice).",(C74+C77*MIN(C76,C28))/C41*1000000)</f>
        <v>2.38130093150751</v>
      </c>
      <c r="D78" s="32" t="s">
        <v>70</v>
      </c>
      <c r="E78" s="8" t="str">
        <f aca="false">IF(C74/C28&lt;3,"— (model invalid)",IFERROR(IF(ISNUMBER(C78),TEXT(10^INT(LOG10(ABS(C78)+1E-030))*CHOOSE(MATCH(C78/10^INT(LOG10(ABS(C78)+1E-030)),{0,1.048809,1.148913,1.249,1.396424,1.549193,1.697056,1.897367,2.097618,2.297825,2.545584,2.84605,3.146427,3.446738,3.746999,4.095119,4.495553,4.895917,5.344156,5.892368,6.493073,7.141428,7.842194,8.638287,9.539392},1),1,1.1,1.2,1.3,1.5,1.6,1.8,2,2.2,2.4,2.7,3,3.3,3.6,3.9,4.3,4.7,5.1,5.6,6.2,6.8,7.5,8.2,9.1,10),"0.##")&amp;" "&amp;D78,C78),"—"))</f>
        <v>02 µH</v>
      </c>
      <c r="F78" s="33" t="s">
        <v>109</v>
      </c>
      <c r="G78" s="9"/>
      <c r="H78" s="33" t="str">
        <f aca="false">IF(C74/C28&gt;=10,"ℹ Xciss/Rgate="&amp;TEXT(ROUND(C74/C28,0),"0")&amp;"× ≥ 10 — Series resonance dominates. L_in=1/(ω²·Ciss)+Q·R_min/ω="&amp;TEXT((C74+C77*MIN(C76,C28))/C41*1000000,"0.000")&amp;"µH (transformation term="&amp;TEXT(C77*MIN(C76,C28)/C41*1000000,"0.000")&amp;"µH, "&amp;TEXT(C77*MIN(C76,C28)/(C74+C77*MIN(C76,C28))*100,"0.1")&amp;"% of total). Verify with LTspice.",IF(C74/C28&gt;=5,"⚠ Xciss/Rgate="&amp;TEXT(ROUND(C74/C28,1),"0.0")&amp;"× ∈[5,10) — Marginal series-resonance. L_in includes both resonating+transformation terms. Verify with LTspice simulation.",IF(C74&lt;3*C28,"⚠ Xciss ≈ R_gate: complex-load synthesis recommended.","⚠ Xciss/Rgate="&amp;TEXT(ROUND(C74/C28,1),"0.0")&amp;"× ∈[3,5) — L_in includes resonating+transformation terms. Verify with ADS/LTspice.")))</f>
        <v>ℹ Xciss/Rgate=19× ≥ 10 — Series resonance dominates. L_in=1/(ω²·Ciss)+Q·R_min/ω=0.002µH (transformation term=0.000µH, 0% of total). Verify with LTspice.</v>
      </c>
      <c r="I78" s="8"/>
      <c r="J78" s="10"/>
      <c r="K78" s="8"/>
    </row>
    <row r="79" customFormat="false" ht="79.5" hidden="false" customHeight="true" outlineLevel="0" collapsed="false">
      <c r="A79" s="6"/>
      <c r="B79" s="8" t="s">
        <v>110</v>
      </c>
      <c r="C79" s="18" t="str">
        <f aca="false">IF(C74/C28&gt;=10,"⚠ C_in negligible — omit (Xciss/Rgate≥10; series resonance dominates)",IF(C74/C28&lt;3,"⚠ Model invalid — Xciss&lt;3×Rgate; use full complex-load synthesis (ADS/LTspice)",IF(C76&gt;=C28,C77/(C41*C76)*1000000000000,C77/(C41*C28)*1000000000000)))</f>
        <v>⚠ C_in negligible — omit (Xciss/Rgate≥10; series resonance dominates)</v>
      </c>
      <c r="D79" s="32" t="s">
        <v>30</v>
      </c>
      <c r="E79" s="8" t="str">
        <f aca="false">IF(C74/C28&gt;=10,"— (C_in negligible; omit)",IF(C74/C28&lt;3,"— (model invalid)",IFERROR(IF(ISNUMBER(C79),TEXT(10^INT(LOG10(ABS(C79)+1E-030))*CHOOSE(MATCH(C79/10^INT(LOG10(ABS(C79)+1E-030)),{0,1.048809,1.148913,1.249,1.396424,1.549193,1.697056,1.897367,2.097618,2.297825,2.545584,2.84605,3.146427,3.446738,3.746999,4.095119,4.495553,4.895917,5.344156,5.892368,6.493073,7.141428,7.842194,8.638287,9.539392},1),1,1.1,1.2,1.3,1.5,1.6,1.8,2,2.2,2.4,2.7,3,3.3,3.6,3.9,4.3,4.7,5.1,5.6,6.2,6.8,7.5,8.2,9.1,10),"0.##")&amp;" "&amp;D79,C79),"—")))</f>
        <v>— (C_in negligible; omit)</v>
      </c>
      <c r="F79" s="33" t="s">
        <v>111</v>
      </c>
      <c r="G79" s="9"/>
      <c r="H79" s="8"/>
      <c r="I79" s="8"/>
      <c r="J79" s="10"/>
      <c r="K79" s="8"/>
    </row>
    <row r="80" customFormat="false" ht="15" hidden="false" customHeight="true" outlineLevel="0" collapsed="false">
      <c r="A80" s="6"/>
      <c r="B80" s="7"/>
      <c r="C80" s="7"/>
      <c r="D80" s="6"/>
      <c r="E80" s="8"/>
      <c r="F80" s="9"/>
      <c r="G80" s="9"/>
      <c r="H80" s="8"/>
      <c r="I80" s="8"/>
      <c r="J80" s="10"/>
      <c r="K80" s="8"/>
    </row>
    <row r="81" customFormat="false" ht="15" hidden="false" customHeight="true" outlineLevel="0" collapsed="false">
      <c r="A81" s="6"/>
      <c r="B81" s="36" t="s">
        <v>112</v>
      </c>
      <c r="C81" s="7"/>
      <c r="D81" s="6"/>
      <c r="E81" s="8"/>
      <c r="F81" s="9"/>
      <c r="G81" s="9"/>
      <c r="H81" s="8"/>
      <c r="I81" s="8"/>
      <c r="J81" s="10"/>
      <c r="K81" s="8"/>
    </row>
    <row r="82" customFormat="false" ht="15" hidden="false" customHeight="true" outlineLevel="0" collapsed="false">
      <c r="A82" s="6"/>
      <c r="B82" s="29" t="s">
        <v>8</v>
      </c>
      <c r="C82" s="29" t="s">
        <v>9</v>
      </c>
      <c r="D82" s="30" t="s">
        <v>10</v>
      </c>
      <c r="E82" s="29"/>
      <c r="F82" s="30" t="s">
        <v>48</v>
      </c>
      <c r="G82" s="30"/>
      <c r="H82" s="29"/>
      <c r="I82" s="29"/>
      <c r="J82" s="10"/>
      <c r="K82" s="8"/>
    </row>
    <row r="83" customFormat="false" ht="92.25" hidden="false" customHeight="true" outlineLevel="0" collapsed="false">
      <c r="A83" s="6"/>
      <c r="B83" s="8" t="s">
        <v>113</v>
      </c>
      <c r="C83" s="18" t="n">
        <f aca="false">3.562*(C16-C35-C20)+C20</f>
        <v>17.81</v>
      </c>
      <c r="D83" s="32" t="s">
        <v>12</v>
      </c>
      <c r="E83" s="8"/>
      <c r="F83" s="33" t="s">
        <v>114</v>
      </c>
      <c r="G83" s="9"/>
      <c r="H83" s="8" t="str">
        <f aca="false">IF(C35&gt;0, "⚠ DROOP WARNING: ΔV="&amp;TEXT(C35,"0.00")&amp;"V reduces V_pk to "&amp;TEXT(C83,"0.0")&amp;"V vs no-droop "&amp;TEXT(3.562*(C16-C20)+C20,"0.0")&amp;"V. RFC choke partially decouples drain from supply droop under RF — verify V_pk with LTspice when ΔV&gt;0.5V. For V_DSS safety, use no-droop V_pk="&amp;TEXT(3.562*(C16-C20)+C20,"0.0")&amp;"V in C84.", "")</f>
        <v/>
      </c>
      <c r="I83" s="8"/>
      <c r="J83" s="10"/>
      <c r="K83" s="8"/>
    </row>
    <row r="84" customFormat="false" ht="66.75" hidden="false" customHeight="true" outlineLevel="0" collapsed="false">
      <c r="A84" s="6"/>
      <c r="B84" s="8" t="s">
        <v>115</v>
      </c>
      <c r="C84" s="18" t="n">
        <f aca="false">C37*MAX(C83,3.562*(C16-C20)+C20)</f>
        <v>53.43</v>
      </c>
      <c r="D84" s="32" t="s">
        <v>12</v>
      </c>
      <c r="E84" s="8"/>
      <c r="F84" s="33" t="str">
        <f aca="false">"V_DSS ≥ "&amp;TEXT(C84,"0")&amp;"V ("&amp;TEXT(C37,"0.0")&amp;"× safety margin. V_pk_nominal="&amp;TEXT(C83,"0.0")&amp;"V; V_pk_no_droop="&amp;TEXT(3.562*(C16-C20)+C20,"0.0")&amp;"V × "&amp;TEXT(C37,"0.0")&amp;"). ⚠ C84 uses MAX(V_pk, V_pk_no_droop) so supply droop (ΔV) never reduces V_DSS requirement — drain voltage under RF is not affected by supply droop via RFC. Mistuned V_pk can reach 5×Vcc; increase safety factor for worst-case designs."</f>
        <v>V_DSS ≥ 53V (03× safety margin. V_pk_nominal=18V; V_pk_no_droop=18V × 03). ⚠ C84 uses MAX(V_pk, V_pk_no_droop) so supply droop (ΔV) never reduces V_DSS requirement — drain voltage under RF is not affected by supply droop via RFC. Mistuned V_pk can reach 5×Vcc; increase safety factor for worst-case designs.</v>
      </c>
      <c r="G84" s="9"/>
      <c r="H84" s="33" t="str">
        <f aca="false">IF(C84&lt;4*C83,"⚠ Consider 4× margin (V_DSS ≥ "&amp;TEXT(4*C83,"0")&amp;"V) for worst-case 5×Vcc mistuning scenario.","")</f>
        <v>⚠ Consider 4× margin (V_DSS ≥ 71V) for worst-case 5×Vcc mistuning scenario.</v>
      </c>
      <c r="I84" s="33" t="str">
        <f aca="false">IF(C16*5&gt;IFERROR(VLOOKUP(B9,'MOSFET Reference Table'!$A:$C,3,0)*1,9999),"🚨 WORST-CASE FAIL: 5×Vcc="&amp;TEXT(C16*5,"0")&amp;"V &gt; V_DSS="&amp;TEXT(IFERROR(VLOOKUP(B9,'MOSFET Reference Table'!$A:$C,3,0)*1,9999),"0")&amp;"V — device WILL fail under mistuning!","✅ Worst-case 5×Vcc="&amp;TEXT(C16*5,"0")&amp;"V &lt; V_DSS="&amp;TEXT(IFERROR(VLOOKUP(B9,'MOSFET Reference Table'!$A:$C,3,0)*1,9999),"0")&amp;"V — safe under mistuning.")</f>
        <v>✅ Worst-case 5×Vcc=25V &lt; V_DSS=60V — safe under mistuning.</v>
      </c>
      <c r="J84" s="10"/>
      <c r="K84" s="8"/>
    </row>
    <row r="85" customFormat="false" ht="40.5" hidden="false" customHeight="true" outlineLevel="0" collapsed="false">
      <c r="A85" s="6"/>
      <c r="B85" s="8" t="s">
        <v>116</v>
      </c>
      <c r="C85" s="18" t="n">
        <f aca="false">IF(AND(ISNUMBER(C42),ISNUMBER(C54)),3.562*(C16-C35-C20)*(1+0.6*C42/(C41*C54))+C20,"⚠ R invalid — set QL ≥ 1.7879")</f>
        <v>18.02372</v>
      </c>
      <c r="D85" s="32" t="s">
        <v>12</v>
      </c>
      <c r="E85" s="8"/>
      <c r="F85" s="33" t="s">
        <v>117</v>
      </c>
      <c r="G85" s="9" t="str">
        <f aca="false">IF(C20&gt;0,"⚠ C85 informational only — use C84 for device selection.","")</f>
        <v/>
      </c>
      <c r="H85" s="8"/>
      <c r="I85" s="8"/>
      <c r="J85" s="10"/>
      <c r="K85" s="8"/>
    </row>
    <row r="86" customFormat="false" ht="15" hidden="false" customHeight="true" outlineLevel="0" collapsed="false">
      <c r="A86" s="6"/>
      <c r="B86" s="8" t="s">
        <v>118</v>
      </c>
      <c r="C86" s="18" t="n">
        <f aca="false">2.862*C43</f>
        <v>0.303910740383121</v>
      </c>
      <c r="D86" s="32" t="s">
        <v>55</v>
      </c>
      <c r="E86" s="8"/>
      <c r="F86" s="33" t="s">
        <v>119</v>
      </c>
      <c r="G86" s="9"/>
      <c r="H86" s="8"/>
      <c r="I86" s="8"/>
      <c r="J86" s="10"/>
      <c r="K86" s="8"/>
    </row>
    <row r="87" customFormat="false" ht="27" hidden="false" customHeight="true" outlineLevel="0" collapsed="false">
      <c r="A87" s="6"/>
      <c r="B87" s="8" t="s">
        <v>120</v>
      </c>
      <c r="C87" s="18" t="n">
        <f aca="false">C43</f>
        <v>0.106188239127576</v>
      </c>
      <c r="D87" s="32" t="s">
        <v>55</v>
      </c>
      <c r="E87" s="8"/>
      <c r="F87" s="33" t="s">
        <v>121</v>
      </c>
      <c r="G87" s="9"/>
      <c r="H87" s="8"/>
      <c r="I87" s="8"/>
      <c r="J87" s="10"/>
      <c r="K87" s="8"/>
    </row>
    <row r="88" customFormat="false" ht="105.75" hidden="false" customHeight="true" outlineLevel="0" collapsed="false">
      <c r="A88" s="6"/>
      <c r="B88" s="8" t="s">
        <v>122</v>
      </c>
      <c r="C88" s="18" t="n">
        <f aca="false">IF(NOT(ISNUMBER(C42)),"⚠ R (C42) invalid — fix QL in C19 first",IFERROR(IF(NOT(ISNUMBER(VLOOKUP(B9,'MOSFET Reference Table'!$A:$E,5,0)*1)),"⚠ LDMOS/no Rds — using input η="&amp;TEXT(C21,"0%"),IF(J90&gt;=C42,"🚨 η&lt;0: Rds losses exceed R — device unsuitable at this operating point",IF(NOT(ISNUMBER(J96)),J92,IF(J96&lt;0,"🚨 η&lt;0: Total losses (resistive+switching+RFC+Coss) exceed input power — device unsuitable",MAX(MIN(J96,0.99),0.01))))),C21))</f>
        <v>0.753379099769112</v>
      </c>
      <c r="D88" s="32" t="s">
        <v>18</v>
      </c>
      <c r="E88" s="8" t="str">
        <f aca="false">IF(ISNUMBER(C88),IF(ABS(C88-C21)&gt;0.005,"ℹ Analytical η="&amp;TEXT(C88,"0.0%")&amp;" (room-temp Rds only). C20 informational. ⚠ THERMAL: if C92&lt;999, see I88 for derated η — C88 does NOT auto-update with thermal derating.","✅ η analytical — self-consistent. If C92&lt;999 entered, check I88 for thermally-derated η (not fed into C88)."),"—")</f>
        <v>ℹ Analytical η=75% (room-temp Rds only). C20 informational. ⚠ THERMAL: if C92&lt;999, see I88 for derated η — C88 does NOT auto-update with thermal derating.</v>
      </c>
      <c r="F88" s="33" t="str">
        <f aca="false">IF(IFERROR(VLOOKUP(B9,'MOSFET Reference Table'!$A:$I,9,0)*1,0)=0,IF(C18&lt;1,"ℹ fT not rated (VLF/LF design) — fT=0 warning suppressed for f&lt;1 MHz. Analytical η: eta_res=R/(R+losses). RFC loss = ESR_RFC×I_dc²/P_in where P_in=(Vcc−ΔV)×I_dc (replaces Sokal −0.01 fixed term; denominator is P_in NOT P_out). p_coss=½·Coss_eff·V_pk²·f·k_coss — k_coss (I36 — auto from MOSFET type; to override: replace I36 formula with your value, default 0.25) is the ZVS energy factor: 0.35–0.50 for Si-DMOS poor ZVS; 0.05–0.10 for RF LDMOS; 0.25 for unknown. Losses: ESR_L2(C22), ESR_C2(C30), 1.365×Rds(on), 0.2116×ESR_C1(C31).","ℹ fT=0: MOSFET not rated for RF — verify suitability at this frequency."),IF(IFERROR(VLOOKUP(B9,'MOSFET Reference Table'!$A:$I,9,0)*1,0)&lt;C18,"⚠ fT ("&amp;TEXT(IFERROR(VLOOKUP(B9,'MOSFET Reference Table'!$A:$I,9,0)*1,0),"0")&amp;" MHz)"&amp;" &lt; f ("&amp;TEXT(C18,"0")&amp;" MHz) — operating above fT: efficiency will be significantly lower than predicted.","ℹ Analytical η: eta_res=R/(R+losses). RFC actual loss = ESR_RFC×I_dc²/P_in where P_in=(Vcc−ΔV)×I_dc [Note: Vo NOT subtracted in P_in denominator — Vo is a drop inside the device, not before the supply current node] (replaces Sokal 1% term; denominator is P_in NOT P_out). Coss term uses empirical ZVS energy factor (I36). The ZVS factor is theoretically 0 for ideal ZVS and up to 0.5 for poor ZVS — verify with LTspice for high-Coss devices or VLF designs."))</f>
        <v>ℹ Analytical η: eta_res=R/(R+losses). RFC actual loss = ESR_RFC×I_dc²/P_in where P_in=(Vcc−ΔV)×I_dc [Note: Vo NOT subtracted in P_in denominator — Vo is a drop inside the device, not before the supply current node] (replaces Sokal 1% term; denominator is P_in NOT P_out). Coss term uses empirical ZVS energy factor (I36). The ZVS factor is theoretically 0 for ideal ZVS and up to 0.5 for poor ZVS — verify with LTspice for high-Coss devices or VLF designs.</v>
      </c>
      <c r="G88" s="9"/>
      <c r="H88" s="33" t="str">
        <f aca="false">IF(IFERROR(VLOOKUP(B9,'MOSFET Reference Table'!$A:$I,9,0)*1,0)=0,IF(C18&lt;1,"ℹ fT not rated (VLF/LF design) — fT=0 warning suppressed for f&lt;1 MHz.","⚠ fT=0: MOSFET not rated for RF — verify suitability at this frequency."),IF(IFERROR(VLOOKUP(B9,'MOSFET Reference Table'!$A:$I,9,0)*1,0)&lt;C18,"⚠ fT &lt; operating frequency — MOSFET too slow for Class-E at "&amp;TEXT(C18,"0")&amp;" MHz.","ℹ Switching loss uses tf≈2.5/fT approximation (Sokal). Actual tf varies ±3× from this estimate. Enter measured tf (ns) in C34 for best accuracy."))</f>
        <v>ℹ Switching loss uses tf≈2.5/fT approximation (Sokal). Actual tf varies ±3× from this estimate. Enter measured tf (ns) in C34 for best accuracy.</v>
      </c>
      <c r="I88" s="33" t="str">
        <f aca="false">IF(C92&gt;=999,"ℹ Enter θ_JA in C90 to compute derated η",IF(NOT(ISNUMBER(C88)),"—",IF(J100&gt;200,"⚠ T_j estimate exceeds 200°C — thermal design required","ℹ T_j≈"&amp;TEXT(J100,"0")&amp;"°C | Rds derated "&amp;TEXT(((J100+273)/298)^J101,"0.00")&amp;"× | Derated η≈"&amp;TEXT(J104,"0.0%")&amp;" vs room-temp η="&amp;TEXT(C88,"0.0%")&amp;" (Δη="&amp;TEXT(C88-J104,"0.0%")&amp;" lower)")))</f>
        <v>ℹ Enter θ_JA in C90 to compute derated η</v>
      </c>
      <c r="J88" s="10" t="n">
        <f aca="false">IFERROR(VLOOKUP(B9,'MOSFET Reference Table'!$A:$E,5,0)*1,"#NA")</f>
        <v>5</v>
      </c>
      <c r="K88" s="8"/>
    </row>
    <row r="89" customFormat="false" ht="92.25" hidden="false" customHeight="true" outlineLevel="0" collapsed="false">
      <c r="A89" s="6"/>
      <c r="B89" s="8" t="s">
        <v>123</v>
      </c>
      <c r="C89" s="18" t="n">
        <f aca="false">(C16-C35)*C43-C17</f>
        <v>0.130941195637878</v>
      </c>
      <c r="D89" s="32" t="s">
        <v>14</v>
      </c>
      <c r="E89" s="8" t="str">
        <f aca="false">IF(C20&gt;0,"⚠ BJT P_diss WARNING: sheet overestimates P_diss by +"&amp;TEXT((C16/(C16-C20)-1)*100,"0.0")&amp;"% (= Vo/(Vcc−Vo)×100 = "&amp; TEXT(C20,"0.0")&amp;"V/("&amp;TEXT(C16,"0.0")&amp;"−"&amp;TEXT(C20,"0.0")&amp;")V×100). True P_diss = "&amp;TEXT(C17*(1/IF(ISNUMBER(C88),C88,C21)-1),"0.000")&amp;" W. C89 is conservatively safe for heatsink selection.","✅ MOSFET (Vo=0): C89 is exact")</f>
        <v>✅ MOSFET (Vo=0): C89 is exact</v>
      </c>
      <c r="F89" s="33" t="s">
        <v>124</v>
      </c>
      <c r="G89" s="33" t="str">
        <f aca="false">IF(C20&gt;0, "Exact P_diss (BJT)="&amp;TEXT(C17*(1/IF(ISNUMBER(C88),C88,C21)-1),"0.000")&amp;" W  |  Sheet C89 overestimates by "&amp;TEXT((C89-C17*(1/IF(ISNUMBER(C88),C88,C21)-1))/ABS(C17*(1/IF(ISNUMBER(C88),C88,C21)-1))*100,"0.0")&amp;"%  ← Use this for thermal design when Vo&gt;0", "✅ MOSFET (Vo=0): C89 exact")</f>
        <v>✅ MOSFET (Vo=0): C89 exact</v>
      </c>
      <c r="H89" s="8"/>
      <c r="I89" s="33" t="s">
        <v>125</v>
      </c>
      <c r="J89" s="10" t="n">
        <f aca="false">IFERROR(VLOOKUP(B9,'MOSFET Reference Table'!$A:$I,9,0)*1,0)</f>
        <v>300</v>
      </c>
      <c r="K89" s="8"/>
    </row>
    <row r="90" customFormat="false" ht="92.25" hidden="false" customHeight="true" outlineLevel="0" collapsed="false">
      <c r="A90" s="6"/>
      <c r="B90" s="8" t="s">
        <v>126</v>
      </c>
      <c r="C90" s="18" t="n">
        <f aca="false">IF(C89&lt;=0,"N/A (P_diss ≈0)",(IFERROR(INDEX('MOSFET Reference Table'!$M:$M,MATCH(B9,'MOSFET Reference Table'!$A:$A,0)),IF((IFERROR(INDEX('MOSFET Reference Table'!$P:$P,MATCH(B9,'MOSFET Reference Table'!$A:$A,0)),""))="LDMOS",200,150))-C29)/IFERROR(IF(ISNUMBER(J88),MAX(MIN(J99,C89),0.001),MAX(MIN(C89,C89),0.001)),C89))</f>
        <v>1101.96312959288</v>
      </c>
      <c r="D90" s="32" t="s">
        <v>127</v>
      </c>
      <c r="E90" s="8"/>
      <c r="F90" s="33" t="s">
        <v>128</v>
      </c>
      <c r="G90" s="9"/>
      <c r="H90" s="33" t="str">
        <f aca="false">IF(NOT(ISNUMBER(C90)),"—",IF(C92&gt;=999,"ℹ Enter actual θ_JA (C92) to estimate T_j",IF(C89&lt;=0,"✅ T_j ≈ "&amp;TEXT(C29,"0")&amp;"°C (P_diss≈0)",IF(J105&gt;100,"⚠ T_j ≈ "&amp;TEXT(J105,"0")&amp;"°C: Rds(on) derated ~"&amp;TEXT(((J105+273)/298)^2.3,"0.0")&amp;"× — actual η lower than predicted.","✅ T_j ≈ "&amp;TEXT(J105,"0")&amp;"°C"))))</f>
        <v>ℹ Enter actual θ_JA (C92) to estimate T_j</v>
      </c>
      <c r="I90" s="33" t="str">
        <f aca="false">IF(IFERROR(INDEX('MOSFET Reference Table'!$P:$P,MATCH(B9,'MOSFET Reference Table'!$A:$A,0)),"")="LDMOS","⚠ LDMOS THERMAL NOTE: θ_JA (C90) denominator uses total P_diss (C89) which includes external component losses (ESR_L2, ESR_C2, ESR_C1) that heat passive components, NOT the MOSFET die. Actual MOSFET-only dissipation is typically 60–80% of C89 for LDMOS. C90 is conservative (requires better heatsink than strictly needed). For a tighter estimate: multiply C89 by 0.65–0.80 and use as denominator manually.","✅ Rds(on) available — J98 computes MOSFET-only dissipation for C90 (correct).")</f>
        <v>✅ Rds(on) available — J98 computes MOSFET-only dissipation for C90 (correct).</v>
      </c>
      <c r="J90" s="10" t="n">
        <f aca="false">IF(ISNUMBER(J88),C22+C30+1.365*J88+0.2116*C31,0)</f>
        <v>6.887116</v>
      </c>
      <c r="K90" s="8"/>
    </row>
    <row r="91" customFormat="false" ht="171" hidden="false" customHeight="true" outlineLevel="0" collapsed="false">
      <c r="A91" s="6"/>
      <c r="B91" s="8" t="s">
        <v>129</v>
      </c>
      <c r="C91" s="18" t="str">
        <f aca="false">IF(NOT(ISNUMBER(C19)),"—",IF(C19&lt;=1.7879,"⚠ QL≤min (1.7879) — C2→∞, Class-E boundary",IFERROR(IF(ISNUMBER(C52),"C2·ω·R="&amp;TEXT((C52+0.2/(C41^2*C54))*C41*C42,"0.00000")&amp;" | Sokal Eq.9="&amp;TEXT((1/(C19-0.104823))*(1.00121+1.01468/(C19-1.7879)),"0.00000")&amp;IF(ABS((C52+0.2/(C41^2*C54))*C41*C42-(1/(C19-0.104823))*(1.00121+1.01468/(C19-1.7879)))&gt;0.0005," ⚠MISMATCH"," ✔OK"),"⚠ C52 (C2) not numeric — check QL in C19"),"⚠ ERROR")))</f>
        <v>C2·ω·R=000.000 | Sokal Eq.9=000.000 ✔OK</v>
      </c>
      <c r="D91" s="32" t="s">
        <v>18</v>
      </c>
      <c r="E91" s="8"/>
      <c r="F91" s="33" t="s">
        <v>130</v>
      </c>
      <c r="G91" s="33" t="str">
        <f aca="false">IF(ISNUMBER(C42),"ℹ RFC COEFFICIENT NOTE: The C91 cross-check is TAUTOLOGICAL for the RFC coefficients 0.6 (C1) and 0.2 (C2) — they algebraically cancel out in (C52 + 0.2/(ω²·RFC))·ω·R, so C91 CANNOT detect an error in these terms. C91 only verifies the Sokal QL polynomial. To independently verify RFC coefficients: (1) temporarily set C54 to a very large value (e.g. 1e6 H), (2) compare C53·ω·R to Sokal Eq.9, (3) restore C54 formula. The 0.2 and 0.6 values are from Sokal QEX 2001 Table I curve-fitting and are correct as published.","—")</f>
        <v>ℹ RFC COEFFICIENT NOTE: The C91 cross-check is TAUTOLOGICAL for the RFC coefficients 0.6 (C1) and 0.2 (C2) — they algebraically cancel out in (C52 + 0.2/(ω²·RFC))·ω·R, so C91 CANNOT detect an error in these terms. C91 only verifies the Sokal QL polynomial. To independently verify RFC coefficients: (1) temporarily set C54 to a very large value (e.g. 1e6 H), (2) compare C53·ω·R to Sokal Eq.9, (3) restore C54 formula. The 0.2 and 0.6 values are from Sokal QEX 2001 Table I curve-fitting and are correct as published.</v>
      </c>
      <c r="H91" s="33" t="str">
        <f aca="false">IF(ISNUMBER(C19),IF(C19&lt;=1.7879,"—","ℹ INDEPENDENT RFC-COEFF CHECK (QL from C19): "&amp;"C2_base=(1/(QL-0.1048))*(1.00121+1.01468/(QL-1.7879))="&amp;TEXT((1/(C19-0.104823))*(1.00121+1.01468/(C19-1.7879)),"0.00000")&amp;" | RFC correction on C2: −0.2/(ω²·RFC)="&amp;TEXT(0.2/(C41^2*C54)*(C41*C42),"0.00000")&amp;" (contributes "&amp;TEXT(0.2/(C41^2*C54)*C41*C42/(C52*C41*C42+0.2/(C41^2*C54)*C41*C42)*100,"0.1")&amp;"% of C2·ωR). To verify RFC coeff: set C54=1E+06, re-check C91 vs Sokal Eq.9, then restore C54."),"—")</f>
        <v>ℹ INDEPENDENT RFC-COEFF CHECK (QL from C19): C2_base=(1/(QL-0.1048))*(1.00121+1.01468/(QL-1.7879))=000.000 | RFC correction on C2: −0.2/(ω²·RFC)=000.000 (contributes 0% of C2·ωR). To verify RFC coeff: set C54=1E+06, re-check C91 vs Sokal Eq.9, then restore C54.</v>
      </c>
      <c r="I91" s="8"/>
      <c r="J91" s="10" t="n">
        <f aca="false">IF(ISNUMBER(C19),IF(C19&gt;0,0.576801*(1.0000086-0.414395/C19-0.577501/C19^2+0.205967/C19^3),0),0)</f>
        <v>0.516627560010096</v>
      </c>
      <c r="K91" s="8"/>
    </row>
    <row r="92" customFormat="false" ht="79.5" hidden="false" customHeight="true" outlineLevel="0" collapsed="false">
      <c r="A92" s="6"/>
      <c r="B92" s="7" t="s">
        <v>131</v>
      </c>
      <c r="C92" s="7" t="n">
        <v>999</v>
      </c>
      <c r="D92" s="6" t="s">
        <v>127</v>
      </c>
      <c r="E92" s="8" t="str">
        <f aca="false">IF(C92&gt;=999,"ℹ Enter actual θ_JA (°C/W) to see thermally-derated η below (I86).","✅ θ_JA set")</f>
        <v>ℹ Enter actual θ_JA (°C/W) to see thermally-derated η below (I86).</v>
      </c>
      <c r="F92" s="33" t="s">
        <v>132</v>
      </c>
      <c r="G92" s="9"/>
      <c r="H92" s="8"/>
      <c r="I92" s="8"/>
      <c r="J92" s="10" t="n">
        <f aca="false">IF(NOT(ISNUMBER(J88)),IF(AND(ISNUMBER(C21),C21&gt;0),C21,0.8),IF(J90&gt;=C42,"🚨 η&lt;0: Rds losses exceed R — device unsuitable at this operating point",MAX(MIN(C42/(C42+J90),0.99),0.01)))</f>
        <v>0.824202152023751</v>
      </c>
      <c r="K92" s="8"/>
    </row>
    <row r="93" customFormat="false" ht="27" hidden="false" customHeight="true" outlineLevel="0" collapsed="false">
      <c r="A93" s="6"/>
      <c r="B93" s="7"/>
      <c r="C93" s="7"/>
      <c r="D93" s="6"/>
      <c r="E93" s="8"/>
      <c r="F93" s="8"/>
      <c r="G93" s="33" t="str">
        <f aca="false">IF(J93&gt;0.15,"🚨 SWITCHING LOSS MODEL INVALID: t_f/T="&amp;TEXT(J93,"0.00")&amp;"&gt; 15%. Sokal alpha formula breaks down. Use LTspice for actual eta. Consider a faster MOSFET (fT &gt;"&amp;TEXT(25*C18,"0")&amp;"MHz).",IF(J93&gt;0.08,"⚠ t_f/T="&amp;TEXT(J93,"0.00")&amp;"&gt; 8% — switching loss model marginal. Verify with LTspice.",IF(J93&gt;0,"ℹ t_f/T="&amp;TEXT(J93,"0.000")&amp;" — switching loss model valid (&lt;&lt; 1).","")))</f>
        <v>⚠ t_f/T=0,12&gt; 8% — switching loss model marginal. Verify with LTspice.</v>
      </c>
      <c r="H93" s="17"/>
      <c r="I93" s="8"/>
      <c r="J93" s="10" t="n">
        <f aca="false">IF(C34&gt;0,C18*1000000*(C34/1000000000),IF(J89&gt;0,2.5*C18/J89,0))</f>
        <v>0.116666666666667</v>
      </c>
      <c r="K93" s="8"/>
    </row>
    <row r="94" customFormat="false" ht="15" hidden="false" customHeight="true" outlineLevel="0" collapsed="false">
      <c r="A94" s="6"/>
      <c r="B94" s="7"/>
      <c r="C94" s="7"/>
      <c r="D94" s="6"/>
      <c r="E94" s="8"/>
      <c r="F94" s="8"/>
      <c r="G94" s="8"/>
      <c r="H94" s="17"/>
      <c r="I94" s="8"/>
      <c r="J94" s="10"/>
      <c r="K94" s="8"/>
    </row>
    <row r="95" customFormat="false" ht="15" hidden="false" customHeight="true" outlineLevel="0" collapsed="false">
      <c r="A95" s="6"/>
      <c r="B95" s="36" t="s">
        <v>133</v>
      </c>
      <c r="C95" s="7"/>
      <c r="D95" s="6"/>
      <c r="E95" s="8"/>
      <c r="F95" s="9"/>
      <c r="G95" s="9"/>
      <c r="H95" s="33" t="str">
        <f aca="false">IF(C20&gt;0, "⚠ RFC/Coss LOSS BIAS (FIXED): J96 now uses P_in=(Vcc−ΔV)×I_dc for denominator (not Veff=(Vcc−ΔV−Vo)×I_dc). This correctly computes the RFC and Coss loss fractions for BJT (Vo&gt;0). MOSFET (Vo=0): Veff=Vcc−ΔV, no change.", "✅ MOSFET: Veff=Vcc (Vo=0), no bias")</f>
        <v>✅ MOSFET: Veff=Vcc (Vo=0), no bias</v>
      </c>
      <c r="I95" s="33" t="str">
        <f aca="false">IF(C20&gt;0,"ℹ J96 CORRECTED: uses (Vcc−ΔV)×I_dc (not Veff×I_dc) for P_in denominator. Ratio=(Vcc-ΔV)/Veff=1 for MOSFET (Vo=0), exact. For BJT (Vo&gt;0): ratio="&amp;TEXT((C16-C35)/C44,"0.000")&amp;" — RFC/Coss loss fractions now correct.","✅ MOSFET: exact (Vo=0)")</f>
        <v>✅ MOSFET: exact (Vo=0)</v>
      </c>
      <c r="J95" s="10" t="n">
        <f aca="false">0.5*(C32*0.000000000001*C36)*(MAX(C83,3.562*(C16-C20)+C20)-C20)^2*(C18*1000000)*I36</f>
        <v>0.004263115584</v>
      </c>
      <c r="K95" s="8"/>
    </row>
    <row r="96" customFormat="false" ht="15" hidden="false" customHeight="true" outlineLevel="0" collapsed="false">
      <c r="A96" s="6"/>
      <c r="B96" s="42" t="s">
        <v>8</v>
      </c>
      <c r="C96" s="42" t="s">
        <v>9</v>
      </c>
      <c r="D96" s="43" t="s">
        <v>10</v>
      </c>
      <c r="E96" s="29" t="s">
        <v>60</v>
      </c>
      <c r="F96" s="30" t="s">
        <v>48</v>
      </c>
      <c r="G96" s="30"/>
      <c r="H96" s="29"/>
      <c r="I96" s="29"/>
      <c r="J96" s="10" t="n">
        <f aca="false">IF(ISNUMBER(J92),MIN(J92-(PI()*(1+0.82/C19)*J93)^2/3-J95/MAX((C16-C35)*C43,0.001)-C23*C43/MAX(C16-C35,0.001),0.99),J92)</f>
        <v>0.753379099769112</v>
      </c>
      <c r="K96" s="17"/>
      <c r="L96" s="5"/>
    </row>
    <row r="97" customFormat="false" ht="92.25" hidden="false" customHeight="true" outlineLevel="0" collapsed="false">
      <c r="A97" s="6"/>
      <c r="B97" s="7" t="s">
        <v>134</v>
      </c>
      <c r="C97" s="44" t="n">
        <f aca="false">1.4*C18</f>
        <v>19.6</v>
      </c>
      <c r="D97" s="45" t="s">
        <v>16</v>
      </c>
      <c r="E97" s="8"/>
      <c r="F97" s="33" t="s">
        <v>135</v>
      </c>
      <c r="G97" s="33" t="str">
        <f aca="false">IF(C110&gt;=-43,"⚠ 5-pole LPF at fc=1.40×f: "&amp;TEXT(ABS(C110),"0.1")&amp;" dBc at 2f."&amp;" Does NOT meet FCC −43 dBc standalone. Total system: LPF+L2-C2 ≈ "&amp;TEXT(ABS(C110)+20,"0.1")&amp;" dBc at QL=5."&amp;" For standalone compliance use 7-pole LPF sheet or lower fc. Verify with LTspice.","✅ 5-pole at 2f: "&amp;TEXT(ABS(C110),"0.1")&amp;" dBc — standalone filter exceeds −43 dBc")</f>
        <v>⚠ 5-pole LPF at fc=1.40×f: 0 dBc at 2f. Does NOT meet FCC −43 dBc standalone. Total system: LPF+L2-C2 ≈ 0 dBc at QL=5. For standalone compliance use 7-pole LPF sheet or lower fc. Verify with LTspice.</v>
      </c>
      <c r="H97" s="8"/>
      <c r="I97" s="8"/>
      <c r="J97" s="10" t="n">
        <f aca="false">C17</f>
        <v>0.4</v>
      </c>
      <c r="K97" s="8"/>
    </row>
    <row r="98" customFormat="false" ht="15" hidden="false" customHeight="true" outlineLevel="0" collapsed="false">
      <c r="A98" s="6"/>
      <c r="B98" s="7" t="s">
        <v>136</v>
      </c>
      <c r="C98" s="44" t="n">
        <f aca="false">2*PI()*C97*1000000</f>
        <v>123150432.02072</v>
      </c>
      <c r="D98" s="45" t="s">
        <v>50</v>
      </c>
      <c r="E98" s="8"/>
      <c r="F98" s="8"/>
      <c r="G98" s="9"/>
      <c r="H98" s="8"/>
      <c r="I98" s="8"/>
      <c r="J98" s="10" t="n">
        <f aca="false">(PI()*(1+0.82/C19)*J93)^2/3*((C16-C35)*C43)</f>
        <v>0.032212501667591</v>
      </c>
      <c r="K98" s="8"/>
    </row>
    <row r="99" customFormat="false" ht="27" hidden="false" customHeight="true" outlineLevel="0" collapsed="false">
      <c r="A99" s="6"/>
      <c r="B99" s="7" t="s">
        <v>137</v>
      </c>
      <c r="C99" s="44" t="n">
        <f aca="false">C25</f>
        <v>50</v>
      </c>
      <c r="D99" s="45" t="s">
        <v>22</v>
      </c>
      <c r="E99" s="8"/>
      <c r="F99" s="33" t="s">
        <v>138</v>
      </c>
      <c r="G99" s="9"/>
      <c r="H99" s="33" t="str">
        <f aca="false">IF(ISNUMBER(J99),IF(J99&gt;C89,"⚠ THERMAL NOTE: J98 ("&amp;TEXT(J99,"0.000")&amp;" W) &gt; total P_diss (C89="&amp;TEXT(C89,"0.000")&amp;" W). This can occur because MOSFET conduction/switching losses differ from non-MOSFET losses. C90 is capped at MIN(J98,C89). J98 correctly uses Pout/J92 (resistive-only eta) for the 1.365×Rds/R Sokal term.","✅ J98≤C89: MOSFET thermal model self-consistent."),"—")</f>
        <v>✅ J98≤C89: MOSFET thermal model self-consistent.</v>
      </c>
      <c r="I99" s="8"/>
      <c r="J99" s="10" t="n">
        <f aca="false">IF(ISNUMBER(J88),C43^2*1.365*J88+J98+J95,J98+J95)</f>
        <v>0.11343392228212</v>
      </c>
      <c r="K99" s="8"/>
    </row>
    <row r="100" customFormat="false" ht="132" hidden="false" customHeight="true" outlineLevel="0" collapsed="false">
      <c r="A100" s="6"/>
      <c r="B100" s="7" t="s">
        <v>139</v>
      </c>
      <c r="C100" s="44" t="n">
        <f aca="false">IFERROR(1.1468*C99/C98,0)</f>
        <v>4.65609410045371E-007</v>
      </c>
      <c r="D100" s="45" t="s">
        <v>67</v>
      </c>
      <c r="E100" s="8" t="str">
        <f aca="false">IF(C110+15&lt;-50,"✅ Worst-case likely meets −50 dBc IARU (theoretical: "&amp;TEXT(ABS(C110),"0.0")&amp;" dBc; worst-case: "&amp;TEXT(ABS(C110+15),"0.0")&amp;" dBc). Verify with spectrum analyser.",IF(C110+15&lt;-43,"⚠ Worst-case likely meets FCC −43 dBc only (theoretical: "&amp;TEXT(ABS(C110),"0.0")&amp;" dBc; worst-case: "&amp;TEXT(ABS(C110+15),"0.0")&amp;" dBc). Add filter margin for IARU −50 dBc. Verify with spectrum analyser.","🚨 Worst-case may FAIL FCC −43 dBc (theoretical: "&amp;TEXT(ABS(C110),"0.0")&amp;" dBc; worst-case: "&amp;TEXT(ABS(C110+15),"0.0")&amp;" dBc) — add filter poles or reduce fc. Verify with spectrum analyser."))</f>
        <v>🚨 Worst-case may FAIL FCC −43 dBc (theoretical: 17 dBc; worst-case: 02 dBc) — add filter poles or reduce fc. Verify with spectrum analyser.</v>
      </c>
      <c r="F100" s="33" t="s">
        <v>140</v>
      </c>
      <c r="G100" s="9"/>
      <c r="H100" s="8"/>
      <c r="I100" s="8"/>
      <c r="J100" s="10" t="n">
        <f aca="false">C29+J99*C92</f>
        <v>138.320488359837</v>
      </c>
      <c r="K100" s="8"/>
    </row>
    <row r="101" customFormat="false" ht="15" hidden="false" customHeight="true" outlineLevel="0" collapsed="false">
      <c r="A101" s="6"/>
      <c r="B101" s="7" t="s">
        <v>141</v>
      </c>
      <c r="C101" s="44" t="n">
        <f aca="false">C100*1000000</f>
        <v>0.465609410045371</v>
      </c>
      <c r="D101" s="45" t="s">
        <v>70</v>
      </c>
      <c r="E101" s="8" t="str">
        <f aca="false">IFERROR(IF(ISNUMBER(C101),TEXT(10^INT(LOG10(ABS(C101)+1E-030))*CHOOSE(MATCH(C101/10^INT(LOG10(ABS(C101)+1E-030)),{0,1.048809,1.148913,1.249,1.396424,1.549193,1.697056,1.897367,2.097618,2.297825,2.545584,2.84605,3.146427,3.446738,3.746999,4.095119,4.495553,4.895917,5.344156,5.892368,6.493073,7.141428,7.842194,8.638287,9.539392},1),1,1.1,1.2,1.3,1.5,1.6,1.8,2,2.2,2.4,2.7,3,3.3,3.6,3.9,4.3,4.7,5.1,5.6,6.2,6.8,7.5,8.2,9.1,10),"0.##")&amp;" "&amp;D101,C101),"—")</f>
        <v>0 µH</v>
      </c>
      <c r="F101" s="8"/>
      <c r="G101" s="9"/>
      <c r="H101" s="8"/>
      <c r="I101" s="8"/>
      <c r="J101" s="10" t="n">
        <f aca="false">IFERROR(INDEX('MOSFET Reference Table'!$Q:$Q,MATCH(B9,'MOSFET Reference Table'!$A:$A,0)),2.3)</f>
        <v>2.5</v>
      </c>
      <c r="K101" s="8"/>
    </row>
    <row r="102" customFormat="false" ht="15" hidden="false" customHeight="true" outlineLevel="0" collapsed="false">
      <c r="A102" s="6"/>
      <c r="B102" s="7" t="s">
        <v>142</v>
      </c>
      <c r="C102" s="44" t="n">
        <f aca="false">1.3712/(C99*C98)</f>
        <v>2.2268699792613E-010</v>
      </c>
      <c r="D102" s="45" t="s">
        <v>62</v>
      </c>
      <c r="E102" s="8"/>
      <c r="F102" s="33" t="s">
        <v>143</v>
      </c>
      <c r="G102" s="9"/>
      <c r="H102" s="8"/>
      <c r="I102" s="8"/>
      <c r="J102" s="10" t="n">
        <f aca="false">IF(ISNUMBER(J88),J88*((J100+273)/298)^J101,0)</f>
        <v>11.1912913221179</v>
      </c>
      <c r="K102" s="8"/>
    </row>
    <row r="103" customFormat="false" ht="15" hidden="false" customHeight="true" outlineLevel="0" collapsed="false">
      <c r="A103" s="6"/>
      <c r="B103" s="7" t="s">
        <v>144</v>
      </c>
      <c r="C103" s="44" t="n">
        <f aca="false">C102*1000000000000</f>
        <v>222.68699792613</v>
      </c>
      <c r="D103" s="45" t="s">
        <v>30</v>
      </c>
      <c r="E103" s="8" t="str">
        <f aca="false">IFERROR(IF(ISNUMBER(C103),TEXT(10^INT(LOG10(ABS(C103)+1E-030))*CHOOSE(MATCH(C103/10^INT(LOG10(ABS(C103)+1E-030)),{0,1.048809,1.148913,1.249,1.396424,1.549193,1.697056,1.897367,2.097618,2.297825,2.545584,2.84605,3.146427,3.446738,3.746999,4.095119,4.495553,4.895917,5.344156,5.892368,6.493073,7.141428,7.842194,8.638287,9.539392},1),1,1.1,1.2,1.3,1.5,1.6,1.8,2,2.2,2.4,2.7,3,3.3,3.6,3.9,4.3,4.7,5.1,5.6,6.2,6.8,7.5,8.2,9.1,10),"0.##")&amp;" "&amp;D103,C103),"—")</f>
        <v>220 pF</v>
      </c>
      <c r="F103" s="8"/>
      <c r="G103" s="9"/>
      <c r="H103" s="8"/>
      <c r="I103" s="8"/>
      <c r="J103" s="10" t="n">
        <f aca="false">MAX(MIN(C42/(C42+C22+C30+1.365*J102+0.2116*C31),0.99),0.01)</f>
        <v>0.67795403107611</v>
      </c>
      <c r="K103" s="8"/>
    </row>
    <row r="104" customFormat="false" ht="27" hidden="false" customHeight="true" outlineLevel="0" collapsed="false">
      <c r="A104" s="6"/>
      <c r="B104" s="7" t="s">
        <v>145</v>
      </c>
      <c r="C104" s="44" t="n">
        <f aca="false">IFERROR(1.975*C99/C98,0)</f>
        <v>8.01864828077789E-007</v>
      </c>
      <c r="D104" s="45" t="s">
        <v>67</v>
      </c>
      <c r="E104" s="8"/>
      <c r="F104" s="33" t="s">
        <v>146</v>
      </c>
      <c r="G104" s="9"/>
      <c r="H104" s="8"/>
      <c r="I104" s="8"/>
      <c r="J104" s="10" t="n">
        <f aca="false">MAX(MIN(J103-(PI()*(1+0.82/C19)*J93)^2/3*J103-J95/MAX((C16-C35)*C43,0.001)-C23*C43/MAX(C16-C35,0.001),0.99),0.01)</f>
        <v>0.626669057566421</v>
      </c>
      <c r="K104" s="8"/>
    </row>
    <row r="105" customFormat="false" ht="15" hidden="false" customHeight="true" outlineLevel="0" collapsed="false">
      <c r="A105" s="6"/>
      <c r="B105" s="7" t="s">
        <v>147</v>
      </c>
      <c r="C105" s="44" t="n">
        <f aca="false">C104*1000000</f>
        <v>0.801864828077789</v>
      </c>
      <c r="D105" s="45" t="s">
        <v>70</v>
      </c>
      <c r="E105" s="8" t="str">
        <f aca="false">IFERROR(IF(ISNUMBER(C105),TEXT(10^INT(LOG10(ABS(C105)+1E-030))*CHOOSE(MATCH(C105/10^INT(LOG10(ABS(C105)+1E-030)),{0,1.048809,1.148913,1.249,1.396424,1.549193,1.697056,1.897367,2.097618,2.297825,2.545584,2.84605,3.146427,3.446738,3.746999,4.095119,4.495553,4.895917,5.344156,5.892368,6.493073,7.141428,7.842194,8.638287,9.539392},1),1,1.1,1.2,1.3,1.5,1.6,1.8,2,2.2,2.4,2.7,3,3.3,3.6,3.9,4.3,4.7,5.1,5.6,6.2,6.8,7.5,8.2,9.1,10),"0.##")&amp;" "&amp;D105,C105),"—")</f>
        <v>01 µH</v>
      </c>
      <c r="F105" s="8"/>
      <c r="G105" s="9"/>
      <c r="H105" s="8"/>
      <c r="I105" s="8"/>
      <c r="J105" s="10" t="n">
        <f aca="false">J100</f>
        <v>138.320488359837</v>
      </c>
      <c r="K105" s="8"/>
    </row>
    <row r="106" customFormat="false" ht="27" hidden="false" customHeight="true" outlineLevel="0" collapsed="false">
      <c r="A106" s="6"/>
      <c r="B106" s="6" t="s">
        <v>148</v>
      </c>
      <c r="C106" s="44" t="n">
        <f aca="false">1.3712/(C99*C98)</f>
        <v>2.2268699792613E-010</v>
      </c>
      <c r="D106" s="45" t="s">
        <v>62</v>
      </c>
      <c r="E106" s="8"/>
      <c r="F106" s="33" t="s">
        <v>149</v>
      </c>
      <c r="G106" s="9"/>
      <c r="H106" s="9"/>
      <c r="I106" s="8"/>
      <c r="J106" s="10"/>
      <c r="K106" s="8"/>
    </row>
    <row r="107" customFormat="false" ht="15" hidden="false" customHeight="true" outlineLevel="0" collapsed="false">
      <c r="A107" s="6"/>
      <c r="B107" s="6" t="s">
        <v>150</v>
      </c>
      <c r="C107" s="44" t="n">
        <f aca="false">C106*1000000000000</f>
        <v>222.68699792613</v>
      </c>
      <c r="D107" s="45" t="s">
        <v>30</v>
      </c>
      <c r="E107" s="8" t="str">
        <f aca="false">IFERROR(IF(ISNUMBER(C107),TEXT(10^INT(LOG10(ABS(C107)+1E-030))*CHOOSE(MATCH(C107/10^INT(LOG10(ABS(C107)+1E-030)),{0,1.048809,1.148913,1.249,1.396424,1.549193,1.697056,1.897367,2.097618,2.297825,2.545584,2.84605,3.146427,3.446738,3.746999,4.095119,4.495553,4.895917,5.344156,5.892368,6.493073,7.141428,7.842194,8.638287,9.539392},1),1,1.1,1.2,1.3,1.5,1.6,1.8,2,2.2,2.4,2.7,3,3.3,3.6,3.9,4.3,4.7,5.1,5.6,6.2,6.8,7.5,8.2,9.1,10),"0.##")&amp;" "&amp;D107,C107),"—")</f>
        <v>220 pF</v>
      </c>
      <c r="F107" s="8"/>
      <c r="G107" s="9"/>
      <c r="H107" s="9"/>
      <c r="I107" s="8"/>
      <c r="J107" s="10"/>
      <c r="K107" s="8"/>
    </row>
    <row r="108" customFormat="false" ht="92.25" hidden="false" customHeight="true" outlineLevel="0" collapsed="false">
      <c r="A108" s="6"/>
      <c r="B108" s="6" t="s">
        <v>151</v>
      </c>
      <c r="C108" s="44" t="n">
        <f aca="false">IFERROR(1.1468*C99/C98,0)</f>
        <v>4.65609410045371E-007</v>
      </c>
      <c r="D108" s="45" t="s">
        <v>67</v>
      </c>
      <c r="E108" s="8"/>
      <c r="F108" s="33" t="s">
        <v>152</v>
      </c>
      <c r="G108" s="9"/>
      <c r="H108" s="9"/>
      <c r="I108" s="8"/>
      <c r="J108" s="10"/>
      <c r="K108" s="8"/>
    </row>
    <row r="109" customFormat="false" ht="15" hidden="false" customHeight="true" outlineLevel="0" collapsed="false">
      <c r="A109" s="6"/>
      <c r="B109" s="6" t="s">
        <v>153</v>
      </c>
      <c r="C109" s="44" t="n">
        <f aca="false">C108*1000000</f>
        <v>0.465609410045371</v>
      </c>
      <c r="D109" s="45" t="s">
        <v>70</v>
      </c>
      <c r="E109" s="8" t="str">
        <f aca="false">IFERROR(IF(ISNUMBER(C109),TEXT(10^INT(LOG10(ABS(C109)+1E-030))*CHOOSE(MATCH(C109/10^INT(LOG10(ABS(C109)+1E-030)),{0,1.048809,1.148913,1.249,1.396424,1.549193,1.697056,1.897367,2.097618,2.297825,2.545584,2.84605,3.146427,3.446738,3.746999,4.095119,4.495553,4.895917,5.344156,5.892368,6.493073,7.141428,7.842194,8.638287,9.539392},1),1,1.1,1.2,1.3,1.5,1.6,1.8,2,2.2,2.4,2.7,3,3.3,3.6,3.9,4.3,4.7,5.1,5.6,6.2,6.8,7.5,8.2,9.1,10),"0.##")&amp;" "&amp;D109,C109),"—")</f>
        <v>0 µH</v>
      </c>
      <c r="F109" s="8"/>
      <c r="G109" s="9"/>
      <c r="H109" s="9"/>
      <c r="I109" s="8"/>
      <c r="J109" s="10"/>
      <c r="K109" s="8"/>
    </row>
    <row r="110" customFormat="false" ht="66.75" hidden="false" customHeight="true" outlineLevel="0" collapsed="false">
      <c r="A110" s="6"/>
      <c r="B110" s="7" t="s">
        <v>154</v>
      </c>
      <c r="C110" s="44" t="n">
        <f aca="false">-10*LOG10((1+(10^(0.1/10)-1)*(16*(2*C18/C97)^5-20*(2*C18/C97)^3+5*(2*C18/C97))^2)/(1+(10^(0.1/10)-1)*(16*(C18/C97)^5-20*(C18/C97)^3+5*(C18/C97))^2))</f>
        <v>-16.5874077706108</v>
      </c>
      <c r="D110" s="45" t="s">
        <v>155</v>
      </c>
      <c r="E110" s="8" t="str">
        <f aca="false">IF(-10*LOG10((1+(10^(0.1/10)-1)*(4*(2*C18/C97)^3-3*(2*C18/C97))^2)/(1+(10^(0.1/10)-1)*(4*(C18/C97)^3-3*(C18/C97))^2))&lt;=-50,"3 poles min for −50 dBc at 2f",IF(-10*LOG10((1+(10^(0.1/10)-1)*(8*(2*C18/C97)^4-8*(2*C18/C97)^2+1)^2)/(1+(10^(0.1/10)-1)*(8*(C18/C97)^4-8*(C18/C97)^2+1)^2))&lt;=-50,"4 poles min for −50 dBc at 2f",IF(-10*LOG10((1+(10^(0.1/10)-1)*(16*(2*C18/C97)^5-20*(2*C18/C97)^3+5*(2*C18/C97))^2)/(1+(10^(0.1/10)-1)*(16*(C18/C97)^5-20*(C18/C97)^3+5*(C18/C97))^2))&lt;=-50,"5 poles min for −50 dBc at 2f",IF(-10*LOG10((1+(10^(0.1/10)-1)*(32*(2*C18/C97)^6-48*(2*C18/C97)^4+18*(2*C18/C97)^2-1)^2)/(1+(10^(0.1/10)-1)*(32*(C18/C97)^6-48*(C18/C97)^4+18*(C18/C97)^2-1)^2))&lt;=-50,"6 poles min for −50 dBc at 2f",IF(-10*LOG10((1+(10^(0.1/10)-1)*(64*(2*C18/C97)^7-112*(2*C18/C97)^5+56*(2*C18/C97)^3-7*(2*C18/C97))^2)/(1+(10^(0.1/10)-1)*(64*(C18/C97)^7-112*(C18/C97)^5+56*(C18/C97)^3-7*(C18/C97))^2))&lt;=-50,"7 poles min for −50 dBc at 2f",IF(-10*LOG10((1+(10^(0.1/10)-1)*(128*(2*C18/C97)^8-256*(2*C18/C97)^6+160*(2*C18/C97)^4-32*(2*C18/C97)^2+1)^2)/(1+(10^(0.1/10)-1)*(128*(C18/C97)^8-256*(C18/C97)^6+160*(C18/C97)^4-32*(C18/C97)^2+1)^2))&lt;=-50,"8 poles min for −50 dBc at 2f","9+ poles required for −50 dBc at 2f"))))))</f>
        <v>9+ poles required for −50 dBc at 2f</v>
      </c>
      <c r="F110" s="33" t="str">
        <f aca="false">IF(C110&lt;-50,"✅ "&amp;TEXT(ABS(C110),"0.0")&amp;" dBc at 2f — meets IARU recommendation (−50 dBc) and FCC §97.307 (−43 dBc). ⚠ 50Ω SOURCE ASSUMPTION: These attenuation figures are valid only when the LPF is driven from a 50Ω resistive source. The Class-E drain impedance is not 50Ω (typically R_opt = 5–20Ω + reactive). Even with an L-network in place, residual source reactance can shift 2nd-harmonic attenuation by ±10–20 dB from the calculated figure. For regulatory compliance (IARU −50 dBc / FCC §97.307 −43 dBc), always verify via LTspice simulation with the actual drain impedance as source, or measure directly with a spectrum analyser. Treat these values as a first-order design guide only.","⚠ "&amp;TEXT(ABS(C110),"0.0")&amp;" dBc at 2f — insufficient for IARU (−50 dBc required). Increase filter order or lower fc.")</f>
        <v>⚠ 17 dBc at 2f — insufficient for IARU (−50 dBc required). Increase filter order or lower fc.</v>
      </c>
      <c r="G110" s="9"/>
      <c r="H110" s="33" t="str">
        <f aca="false">IF(ISNUMBER(C110),"⚠ THEORETICAL VALUE — assumes 50Ω source. Actual rejection may be 10–20 dB lower. Worst-case estimate: "&amp;TEXT(C110+15,"0.0")&amp;" dBc. "&amp;IF(C110+15&gt;-50,"🚨 Worst-case may not meet −50 dBc IARU. Verify with spectrum analyser before regulatory submission.",IF(C110+15&gt;-43,"⚠ Worst-case margin over FCC −43 dBc is limited. Measure before submission.","✅ Even worst-case estimate meets −43 dBc FCC. Verify with spectrum analyser.")),"—")</f>
        <v>⚠ THEORETICAL VALUE — assumes 50Ω source. Actual rejection may be 10–20 dB lower. Worst-case estimate: -02 dBc. 🚨 Worst-case may not meet −50 dBc IARU. Verify with spectrum analyser before regulatory submission.</v>
      </c>
      <c r="I110" s="8"/>
      <c r="J110" s="10"/>
      <c r="K110" s="8"/>
    </row>
    <row r="111" customFormat="false" ht="40.5" hidden="false" customHeight="true" outlineLevel="0" collapsed="false">
      <c r="A111" s="6"/>
      <c r="B111" s="7" t="s">
        <v>156</v>
      </c>
      <c r="C111" s="44" t="n">
        <f aca="false">-10*LOG10((1+(10^(0.1/10)-1)*(16*(3*C18/C97)^5-20*(3*C18/C97)^3+5*(3*C18/C97))^2)/(1+(10^(0.1/10)-1)*(16*(C18/C97)^5-20*(C18/C97)^3+5*(C18/C97))^2))</f>
        <v>-38.2143276045362</v>
      </c>
      <c r="D111" s="45" t="s">
        <v>155</v>
      </c>
      <c r="E111" s="8" t="str">
        <f aca="false">IF(-10*LOG10((1+(10^(0.1/10)-1)*(4*(3*C18/C97)^3-3*(3*C18/C97))^2)/(1+(10^(0.1/10)-1)*(4*(C18/C97)^3-3*(C18/C97))^2))&lt;=-50,"3 poles min for −50 dBc at 3f",IF(-10*LOG10((1+(10^(0.1/10)-1)*(8*(3*C18/C97)^4-8*(3*C18/C97)^2+1)^2)/(1+(10^(0.1/10)-1)*(8*(C18/C97)^4-8*(C18/C97)^2+1)^2))&lt;=-50,"4 poles min for −50 dBc at 3f",IF(-10*LOG10((1+(10^(0.1/10)-1)*(16*(3*C18/C97)^5-20*(3*C18/C97)^3+5*(3*C18/C97))^2)/(1+(10^(0.1/10)-1)*(16*(C18/C97)^5-20*(C18/C97)^3+5*(C18/C97))^2))&lt;=-50,"5 poles min for −50 dBc at 3f",IF(-10*LOG10((1+(10^(0.1/10)-1)*(32*(3*C18/C97)^6-48*(3*C18/C97)^4+18*(3*C18/C97)^2-1)^2)/(1+(10^(0.1/10)-1)*(32*(C18/C97)^6-48*(C18/C97)^4+18*(C18/C97)^2-1)^2))&lt;=-50,"6 poles min for −50 dBc at 3f",IF(-10*LOG10((1+(10^(0.1/10)-1)*(64*(3*C18/C97)^7-112*(3*C18/C97)^5+56*(3*C18/C97)^3-7*(3*C18/C97))^2)/(1+(10^(0.1/10)-1)*(64*(C18/C97)^7-112*(C18/C97)^5+56*(C18/C97)^3-7*(C18/C97))^2))&lt;=-50,"7 poles min for −50 dBc at 3f",IF(-10*LOG10((1+(10^(0.1/10)-1)*(128*(3*C18/C97)^8-256*(3*C18/C97)^6+160*(3*C18/C97)^4-32*(3*C18/C97)^2+1)^2)/(1+(10^(0.1/10)-1)*(128*(C18/C97)^8-256*(C18/C97)^6+160*(C18/C97)^4-32*(C18/C97)^2+1)^2))&lt;=-50,"8 poles min for −50 dBc at 3f","9+ poles required for −50 dBc at 3f"))))))</f>
        <v>6 poles min for −50 dBc at 3f</v>
      </c>
      <c r="F111" s="33" t="str">
        <f aca="false">IF(C111&lt;-50,"✅ "&amp;TEXT(ABS(C111),"0.0")&amp;" dBc at 3f — meets IARU recommendation (−50 dBc) and FCC §97.307. ⚠ 50Ω SOURCE ASSUMPTION: Actual 3f attenuation may differ by ±10–20 dB when source impedance ≠ 50Ω. Verify with LTspice or spectrum analyser.","⚠ "&amp;TEXT(ABS(C111),"0.0")&amp;" dBc at 3f — add filter poles. ⚠ 50Ω SOURCE ASSUMPTION: Actual attenuation differs when Class-E drain impedance is the source. Verify with LTspice or spectrum analyser before regulatory submission.")</f>
        <v>⚠ 38 dBc at 3f — add filter poles. ⚠ 50Ω SOURCE ASSUMPTION: Actual attenuation differs when Class-E drain impedance is the source. Verify with LTspice or spectrum analyser before regulatory submission.</v>
      </c>
      <c r="G111" s="9"/>
      <c r="H111" s="8"/>
      <c r="I111" s="8"/>
      <c r="J111" s="10"/>
      <c r="K111" s="8"/>
    </row>
    <row r="112" customFormat="false" ht="79.5" hidden="false" customHeight="true" outlineLevel="0" collapsed="false">
      <c r="A112" s="6"/>
      <c r="B112" s="7" t="s">
        <v>157</v>
      </c>
      <c r="C112" s="44"/>
      <c r="D112" s="6"/>
      <c r="E112" s="8"/>
      <c r="F112" s="33" t="str">
        <f aca="false">IF(C65&lt;0.01,IF(ABS(C42-C99)/MAX(C99,0.001)&lt;0.05,"✅ R_opt≈Z_load≈"&amp;TEXT(C99,"0")&amp;"Ω — no L-network needed and LPF is VALID (source = R_opt = Z0 = "&amp;TEXT(ROUND(C99,0),"0")&amp;"Ω). No impedance mismatch.","🚨 LPF SOURCE MISMATCH: No L-network and R_drain ("&amp;TEXT(C42,"0.0")&amp;"Ω) ≠ "&amp;TEXT(C99,"0")&amp;"Ω LPF reference. LPF attenuation values INVALID for this source impedance. Use LPF Direct sheets for direct-drain connection, or add L-network."),"✅ L-network active (Q_match="&amp;TEXT(C65,"0.00")&amp;"×) — LPF source ≈ "&amp;TEXT(C99,"0")&amp;"Ω. Attenuation formulas assume ideal "&amp;TEXT(C99,"0")&amp;"Ω resistive source. Actual drain impedance after L-network retains residual reactance — actual harmonic rejection may differ by ±2–6 dB from calculated values. Conservative budget: subtract 3 dB from displayed figures. For regulatory compliance (IARU −50 dBc / FCC §97.307 −43 dBc), verify with LTspice using actual R_opt+jX drain impedance as source.")</f>
        <v>✅ L-network active (Q_match=0,74×) — LPF source ≈ 50Ω. Attenuation formulas assume ideal 50Ω resistive source. Actual drain impedance after L-network retains residual reactance — actual harmonic rejection may differ by ±2–6 dB from calculated values. Conservative budget: subtract 3 dB from displayed figures. For regulatory compliance (IARU −50 dBc / FCC §97.307 −43 dBc), verify with LTspice using actual R_opt+jX drain impedance as source.</v>
      </c>
      <c r="G112" s="9"/>
      <c r="H112" s="8"/>
      <c r="I112" s="8"/>
      <c r="J112" s="10"/>
      <c r="K112" s="8"/>
    </row>
    <row r="113" customFormat="false" ht="15" hidden="false" customHeight="true" outlineLevel="0" collapsed="false">
      <c r="A113" s="6"/>
      <c r="B113" s="6"/>
      <c r="C113" s="7"/>
      <c r="D113" s="6"/>
      <c r="E113" s="8"/>
      <c r="F113" s="9"/>
      <c r="G113" s="9"/>
      <c r="H113" s="8"/>
      <c r="I113" s="8"/>
      <c r="J113" s="10"/>
      <c r="K113" s="8"/>
    </row>
    <row r="114" customFormat="false" ht="15" hidden="false" customHeight="true" outlineLevel="0" collapsed="false">
      <c r="A114" s="6"/>
      <c r="B114" s="46" t="s">
        <v>158</v>
      </c>
      <c r="C114" s="7"/>
      <c r="D114" s="6"/>
      <c r="E114" s="8"/>
      <c r="F114" s="9"/>
      <c r="G114" s="9"/>
      <c r="H114" s="8"/>
      <c r="I114" s="8"/>
      <c r="J114" s="10"/>
      <c r="K114" s="8"/>
    </row>
    <row r="115" customFormat="false" ht="27" hidden="false" customHeight="true" outlineLevel="0" collapsed="false">
      <c r="A115" s="6"/>
      <c r="B115" s="47" t="s">
        <v>159</v>
      </c>
      <c r="C115" s="8"/>
      <c r="D115" s="9"/>
      <c r="E115" s="8"/>
      <c r="F115" s="9"/>
      <c r="G115" s="9"/>
      <c r="H115" s="8"/>
      <c r="I115" s="8"/>
      <c r="J115" s="10"/>
      <c r="K115" s="8"/>
    </row>
    <row r="116" customFormat="false" ht="27" hidden="false" customHeight="true" outlineLevel="0" collapsed="false">
      <c r="A116" s="6"/>
      <c r="B116" s="47" t="s">
        <v>160</v>
      </c>
      <c r="C116" s="8"/>
      <c r="D116" s="9"/>
      <c r="E116" s="8"/>
      <c r="F116" s="9"/>
      <c r="G116" s="9"/>
      <c r="H116" s="8"/>
      <c r="I116" s="8"/>
      <c r="J116" s="10"/>
      <c r="K116" s="8"/>
    </row>
    <row r="117" customFormat="false" ht="27" hidden="false" customHeight="true" outlineLevel="0" collapsed="false">
      <c r="A117" s="6"/>
      <c r="B117" s="47" t="s">
        <v>161</v>
      </c>
      <c r="C117" s="8"/>
      <c r="D117" s="9"/>
      <c r="E117" s="8"/>
      <c r="F117" s="9"/>
      <c r="G117" s="9"/>
      <c r="H117" s="8"/>
      <c r="I117" s="8"/>
      <c r="J117" s="10"/>
      <c r="K117" s="8"/>
    </row>
    <row r="118" customFormat="false" ht="27" hidden="false" customHeight="true" outlineLevel="0" collapsed="false">
      <c r="A118" s="6"/>
      <c r="B118" s="47" t="s">
        <v>162</v>
      </c>
      <c r="C118" s="8"/>
      <c r="D118" s="9"/>
      <c r="E118" s="8"/>
      <c r="F118" s="9"/>
      <c r="G118" s="9"/>
      <c r="H118" s="8"/>
      <c r="I118" s="8"/>
      <c r="J118" s="10"/>
      <c r="K118" s="8"/>
    </row>
    <row r="119" customFormat="false" ht="27" hidden="false" customHeight="true" outlineLevel="0" collapsed="false">
      <c r="A119" s="6"/>
      <c r="B119" s="47" t="s">
        <v>163</v>
      </c>
      <c r="C119" s="8"/>
      <c r="D119" s="9"/>
      <c r="E119" s="8"/>
      <c r="F119" s="9"/>
      <c r="G119" s="9"/>
      <c r="H119" s="8"/>
      <c r="I119" s="8"/>
      <c r="J119" s="10"/>
      <c r="K119" s="8"/>
    </row>
    <row r="120" customFormat="false" ht="27" hidden="false" customHeight="true" outlineLevel="0" collapsed="false">
      <c r="A120" s="6"/>
      <c r="B120" s="47" t="s">
        <v>164</v>
      </c>
      <c r="C120" s="8"/>
      <c r="D120" s="9"/>
      <c r="E120" s="8"/>
      <c r="F120" s="9"/>
      <c r="G120" s="9"/>
      <c r="H120" s="8"/>
      <c r="I120" s="8"/>
      <c r="J120" s="10"/>
      <c r="K120" s="8"/>
    </row>
    <row r="121" customFormat="false" ht="15" hidden="false" customHeight="true" outlineLevel="0" collapsed="false">
      <c r="A121" s="6"/>
      <c r="B121" s="47" t="s">
        <v>165</v>
      </c>
      <c r="C121" s="8"/>
      <c r="D121" s="9"/>
      <c r="E121" s="8"/>
      <c r="F121" s="9"/>
      <c r="G121" s="9"/>
      <c r="H121" s="8"/>
      <c r="I121" s="8"/>
      <c r="J121" s="10"/>
      <c r="K121" s="8"/>
    </row>
    <row r="122" customFormat="false" ht="27" hidden="false" customHeight="true" outlineLevel="0" collapsed="false">
      <c r="A122" s="6"/>
      <c r="B122" s="47" t="s">
        <v>166</v>
      </c>
      <c r="C122" s="8"/>
      <c r="D122" s="9"/>
      <c r="E122" s="8"/>
      <c r="F122" s="9"/>
      <c r="G122" s="9"/>
      <c r="H122" s="8"/>
      <c r="I122" s="8"/>
      <c r="J122" s="10"/>
      <c r="K122" s="8"/>
    </row>
    <row r="123" customFormat="false" ht="27" hidden="false" customHeight="true" outlineLevel="0" collapsed="false">
      <c r="A123" s="6"/>
      <c r="B123" s="47" t="s">
        <v>167</v>
      </c>
      <c r="C123" s="8"/>
      <c r="D123" s="9"/>
      <c r="E123" s="8"/>
      <c r="F123" s="9"/>
      <c r="G123" s="9"/>
      <c r="H123" s="8"/>
      <c r="I123" s="8"/>
      <c r="J123" s="10"/>
      <c r="K123" s="8"/>
    </row>
    <row r="124" customFormat="false" ht="15" hidden="false" customHeight="true" outlineLevel="0" collapsed="false">
      <c r="A124" s="6"/>
      <c r="B124" s="47" t="s">
        <v>168</v>
      </c>
      <c r="C124" s="8"/>
      <c r="D124" s="9"/>
      <c r="E124" s="8"/>
      <c r="F124" s="9"/>
      <c r="G124" s="9"/>
      <c r="H124" s="8"/>
      <c r="I124" s="8"/>
      <c r="J124" s="10"/>
      <c r="K124" s="8"/>
    </row>
    <row r="125" customFormat="false" ht="27" hidden="false" customHeight="true" outlineLevel="0" collapsed="false">
      <c r="A125" s="6"/>
      <c r="B125" s="47" t="s">
        <v>169</v>
      </c>
      <c r="C125" s="8"/>
      <c r="D125" s="9"/>
      <c r="E125" s="8"/>
      <c r="F125" s="9"/>
      <c r="G125" s="9"/>
      <c r="H125" s="8"/>
      <c r="I125" s="8"/>
      <c r="J125" s="10"/>
      <c r="K125" s="8"/>
    </row>
    <row r="126" customFormat="false" ht="27" hidden="false" customHeight="true" outlineLevel="0" collapsed="false">
      <c r="A126" s="6"/>
      <c r="B126" s="47" t="s">
        <v>170</v>
      </c>
      <c r="C126" s="8"/>
      <c r="D126" s="9"/>
      <c r="E126" s="8"/>
      <c r="F126" s="9"/>
      <c r="G126" s="9"/>
      <c r="H126" s="8"/>
      <c r="I126" s="8"/>
      <c r="J126" s="10"/>
      <c r="K126" s="8"/>
    </row>
    <row r="127" customFormat="false" ht="15" hidden="false" customHeight="true" outlineLevel="0" collapsed="false">
      <c r="A127" s="6"/>
      <c r="B127" s="48"/>
      <c r="C127" s="7"/>
      <c r="D127" s="6"/>
      <c r="E127" s="8"/>
      <c r="F127" s="9"/>
      <c r="G127" s="9"/>
      <c r="H127" s="8"/>
      <c r="I127" s="8"/>
      <c r="J127" s="10"/>
      <c r="K127" s="8"/>
    </row>
    <row r="128" customFormat="false" ht="15" hidden="false" customHeight="true" outlineLevel="0" collapsed="false">
      <c r="B128" s="49"/>
    </row>
    <row r="129" customFormat="false" ht="15" hidden="false" customHeight="true" outlineLevel="0" collapsed="false">
      <c r="B129" s="49"/>
    </row>
    <row r="130" customFormat="false" ht="15" hidden="false" customHeight="true" outlineLevel="0" collapsed="false">
      <c r="B130" s="49"/>
    </row>
    <row r="133" customFormat="false" ht="15" hidden="false" customHeight="true" outlineLevel="0" collapsed="false">
      <c r="B133" s="2"/>
    </row>
  </sheetData>
  <dataValidations count="2">
    <dataValidation allowBlank="true" error="Please select a MOSFET from the list." errorStyle="stop" errorTitle="Invalid Entry" operator="between" showDropDown="false" showErrorMessage="true" showInputMessage="false" sqref="B9" type="list">
      <formula1>'MOSFET Reference Table'!$A$4:$A$19</formula1>
      <formula2>0</formula2>
    </dataValidation>
    <dataValidation allowBlank="false" error="All Sokal Class-E equations are derived for D=50% only. Changing duty cycle requires a completely different equation set (Kazimierczuk &amp; Puczko 1987). Value has been reset." errorStyle="stop" errorTitle="Duty Cycle Locked" operator="equal" prompt="Sokal equations are valid ONLY for 50% duty cycle. Do not change this value." promptTitle="D = 0.5 Required" showDropDown="false" showErrorMessage="true" showInputMessage="true" sqref="C25" type="decimal">
      <formula1>0.5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114"/>
  <sheetViews>
    <sheetView showFormulas="false" showGridLines="true" showRowColHeaders="true" showZeros="true" rightToLeft="false" tabSelected="true" showOutlineSymbols="true" defaultGridColor="true" view="normal" topLeftCell="A1" colorId="64" zoomScale="200" zoomScaleNormal="200" zoomScalePageLayoutView="100" workbookViewId="0">
      <selection pane="topLeft" activeCell="C93" activeCellId="0" sqref="C93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50" width="2.55"/>
    <col collapsed="false" customWidth="true" hidden="false" outlineLevel="0" max="2" min="2" style="51" width="96.13"/>
    <col collapsed="false" customWidth="true" hidden="false" outlineLevel="0" max="8" min="3" style="50" width="17.88"/>
    <col collapsed="false" customWidth="true" hidden="false" outlineLevel="0" max="9" min="9" style="50" width="50.84"/>
    <col collapsed="false" customWidth="true" hidden="false" outlineLevel="0" max="10" min="10" style="50" width="2.55"/>
    <col collapsed="false" customWidth="false" hidden="false" outlineLevel="0" max="16384" min="11" style="50" width="8.68"/>
  </cols>
  <sheetData>
    <row r="1" customFormat="false" ht="15" hidden="false" customHeight="false" outlineLevel="0" collapsed="false">
      <c r="A1" s="33"/>
      <c r="B1" s="52"/>
      <c r="C1" s="33"/>
      <c r="D1" s="33"/>
      <c r="E1" s="33"/>
      <c r="F1" s="33"/>
      <c r="G1" s="33"/>
      <c r="H1" s="33"/>
      <c r="I1" s="33"/>
      <c r="J1" s="33"/>
    </row>
    <row r="2" customFormat="false" ht="15.65" hidden="false" customHeight="false" outlineLevel="0" collapsed="false">
      <c r="A2" s="33"/>
      <c r="B2" s="11" t="s">
        <v>171</v>
      </c>
      <c r="C2" s="33"/>
      <c r="D2" s="33"/>
      <c r="E2" s="33"/>
      <c r="F2" s="33"/>
      <c r="G2" s="33"/>
      <c r="H2" s="33"/>
      <c r="I2" s="33"/>
      <c r="J2" s="33"/>
    </row>
    <row r="3" customFormat="false" ht="15" hidden="false" customHeight="false" outlineLevel="0" collapsed="false">
      <c r="A3" s="33"/>
      <c r="B3" s="13" t="s">
        <v>172</v>
      </c>
      <c r="C3" s="33"/>
      <c r="D3" s="33"/>
      <c r="E3" s="33"/>
      <c r="F3" s="33"/>
      <c r="G3" s="33"/>
      <c r="H3" s="33"/>
      <c r="I3" s="33"/>
      <c r="J3" s="33"/>
    </row>
    <row r="4" s="5" customFormat="true" ht="15" hidden="false" customHeight="false" outlineLevel="0" collapsed="false">
      <c r="A4" s="6"/>
      <c r="B4" s="13" t="s">
        <v>1</v>
      </c>
      <c r="C4" s="11"/>
      <c r="D4" s="12"/>
      <c r="E4" s="11"/>
      <c r="F4" s="12"/>
      <c r="G4" s="12"/>
      <c r="H4" s="11"/>
      <c r="I4" s="8"/>
      <c r="J4" s="10"/>
      <c r="K4" s="3"/>
      <c r="L4" s="3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  <c r="BG4" s="1"/>
      <c r="BH4" s="1"/>
      <c r="BI4" s="1"/>
      <c r="BJ4" s="1"/>
      <c r="BK4" s="1"/>
      <c r="BL4" s="1"/>
      <c r="BM4" s="1"/>
      <c r="BN4" s="1"/>
      <c r="BO4" s="1"/>
      <c r="BP4" s="1"/>
      <c r="BQ4" s="1"/>
      <c r="BR4" s="1"/>
      <c r="BS4" s="1"/>
      <c r="BT4" s="1"/>
      <c r="BU4" s="1"/>
      <c r="BV4" s="1"/>
      <c r="BW4" s="1"/>
      <c r="BX4" s="1"/>
      <c r="BY4" s="1"/>
      <c r="BZ4" s="1"/>
      <c r="CA4" s="1"/>
      <c r="CB4" s="1"/>
      <c r="CC4" s="1"/>
      <c r="CD4" s="1"/>
      <c r="CE4" s="1"/>
      <c r="CF4" s="1"/>
      <c r="CG4" s="1"/>
      <c r="CH4" s="1"/>
      <c r="CI4" s="1"/>
      <c r="CJ4" s="1"/>
      <c r="CK4" s="1"/>
      <c r="CL4" s="1"/>
      <c r="CM4" s="1"/>
      <c r="CN4" s="1"/>
      <c r="CO4" s="1"/>
      <c r="CP4" s="1"/>
      <c r="CQ4" s="1"/>
      <c r="CR4" s="1"/>
      <c r="CS4" s="1"/>
      <c r="CT4" s="1"/>
      <c r="CU4" s="1"/>
      <c r="CV4" s="1"/>
      <c r="CW4" s="1"/>
      <c r="CX4" s="1"/>
      <c r="CY4" s="1"/>
      <c r="CZ4" s="1"/>
      <c r="DA4" s="1"/>
      <c r="DB4" s="1"/>
      <c r="DC4" s="1"/>
      <c r="DD4" s="1"/>
      <c r="DE4" s="1"/>
      <c r="DF4" s="1"/>
      <c r="DG4" s="1"/>
      <c r="DH4" s="1"/>
      <c r="DI4" s="1"/>
      <c r="DJ4" s="1"/>
      <c r="DK4" s="1"/>
      <c r="DL4" s="1"/>
      <c r="DM4" s="1"/>
      <c r="DN4" s="1"/>
      <c r="DO4" s="1"/>
      <c r="DP4" s="1"/>
      <c r="DQ4" s="1"/>
      <c r="DR4" s="1"/>
      <c r="DS4" s="1"/>
      <c r="DT4" s="1"/>
      <c r="DU4" s="1"/>
      <c r="DV4" s="1"/>
      <c r="DW4" s="1"/>
      <c r="DX4" s="1"/>
      <c r="DY4" s="1"/>
      <c r="DZ4" s="1"/>
      <c r="EA4" s="1"/>
      <c r="EB4" s="1"/>
      <c r="EC4" s="1"/>
      <c r="ED4" s="1"/>
      <c r="EE4" s="1"/>
      <c r="EF4" s="1"/>
      <c r="EG4" s="1"/>
      <c r="EH4" s="1"/>
      <c r="EI4" s="1"/>
      <c r="EJ4" s="1"/>
      <c r="EK4" s="1"/>
      <c r="EL4" s="1"/>
      <c r="EM4" s="1"/>
      <c r="EN4" s="1"/>
      <c r="EO4" s="1"/>
      <c r="EP4" s="1"/>
      <c r="EQ4" s="1"/>
      <c r="ER4" s="1"/>
      <c r="ES4" s="1"/>
      <c r="ET4" s="1"/>
      <c r="EU4" s="1"/>
      <c r="EV4" s="1"/>
      <c r="EW4" s="1"/>
      <c r="EX4" s="1"/>
      <c r="EY4" s="1"/>
      <c r="EZ4" s="1"/>
      <c r="FA4" s="1"/>
      <c r="FB4" s="1"/>
      <c r="FC4" s="1"/>
      <c r="FD4" s="1"/>
      <c r="FE4" s="1"/>
      <c r="FF4" s="1"/>
      <c r="FG4" s="1"/>
      <c r="FH4" s="1"/>
      <c r="FI4" s="1"/>
      <c r="FJ4" s="1"/>
      <c r="FK4" s="1"/>
      <c r="FL4" s="1"/>
      <c r="FM4" s="1"/>
      <c r="FN4" s="1"/>
      <c r="FO4" s="1"/>
      <c r="FP4" s="1"/>
      <c r="FQ4" s="1"/>
      <c r="FR4" s="1"/>
      <c r="FS4" s="1"/>
      <c r="FT4" s="1"/>
      <c r="FU4" s="1"/>
      <c r="FV4" s="1"/>
      <c r="FW4" s="1"/>
      <c r="FX4" s="1"/>
      <c r="FY4" s="1"/>
      <c r="FZ4" s="1"/>
      <c r="GA4" s="1"/>
      <c r="GB4" s="1"/>
      <c r="GC4" s="1"/>
      <c r="GD4" s="1"/>
      <c r="GE4" s="1"/>
      <c r="GF4" s="1"/>
      <c r="GG4" s="1"/>
      <c r="GH4" s="1"/>
      <c r="GI4" s="1"/>
      <c r="GJ4" s="1"/>
      <c r="GK4" s="1"/>
      <c r="GL4" s="1"/>
      <c r="GM4" s="1"/>
      <c r="GN4" s="1"/>
      <c r="GO4" s="1"/>
      <c r="GP4" s="1"/>
      <c r="GQ4" s="1"/>
      <c r="GR4" s="1"/>
      <c r="GS4" s="1"/>
      <c r="GT4" s="1"/>
      <c r="GU4" s="1"/>
      <c r="GV4" s="1"/>
      <c r="GW4" s="1"/>
      <c r="GX4" s="1"/>
      <c r="GY4" s="1"/>
      <c r="GZ4" s="1"/>
      <c r="HA4" s="1"/>
      <c r="HB4" s="1"/>
      <c r="HC4" s="1"/>
      <c r="HD4" s="1"/>
      <c r="HE4" s="1"/>
      <c r="HF4" s="1"/>
      <c r="HG4" s="1"/>
      <c r="HH4" s="1"/>
      <c r="HI4" s="1"/>
      <c r="HJ4" s="1"/>
      <c r="HK4" s="1"/>
      <c r="HL4" s="1"/>
      <c r="HM4" s="1"/>
      <c r="HN4" s="1"/>
      <c r="HO4" s="1"/>
      <c r="HP4" s="1"/>
      <c r="HQ4" s="1"/>
      <c r="HR4" s="1"/>
      <c r="HS4" s="1"/>
      <c r="HT4" s="1"/>
      <c r="HU4" s="1"/>
      <c r="HV4" s="1"/>
      <c r="HW4" s="1"/>
      <c r="HX4" s="1"/>
      <c r="HY4" s="1"/>
      <c r="HZ4" s="1"/>
      <c r="IA4" s="1"/>
      <c r="IB4" s="1"/>
      <c r="IC4" s="1"/>
      <c r="ID4" s="1"/>
      <c r="IE4" s="1"/>
      <c r="IF4" s="1"/>
      <c r="IG4" s="1"/>
      <c r="IH4" s="1"/>
      <c r="II4" s="1"/>
      <c r="IJ4" s="1"/>
      <c r="IK4" s="1"/>
      <c r="IL4" s="1"/>
      <c r="IM4" s="1"/>
      <c r="IN4" s="1"/>
      <c r="IO4" s="1"/>
      <c r="IP4" s="1"/>
      <c r="IQ4" s="1"/>
      <c r="IR4" s="1"/>
      <c r="IS4" s="1"/>
      <c r="IT4" s="1"/>
      <c r="IU4" s="1"/>
      <c r="IV4" s="1"/>
      <c r="XFD4" s="53"/>
    </row>
    <row r="5" s="5" customFormat="true" ht="15" hidden="false" customHeight="false" outlineLevel="0" collapsed="false">
      <c r="A5" s="6"/>
      <c r="B5" s="14" t="s">
        <v>2</v>
      </c>
      <c r="C5" s="11"/>
      <c r="D5" s="12"/>
      <c r="E5" s="11"/>
      <c r="F5" s="12"/>
      <c r="G5" s="12"/>
      <c r="H5" s="11"/>
      <c r="I5" s="8"/>
      <c r="J5" s="10"/>
      <c r="K5" s="3"/>
      <c r="L5" s="3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  <c r="CF5" s="1"/>
      <c r="CG5" s="1"/>
      <c r="CH5" s="1"/>
      <c r="CI5" s="1"/>
      <c r="CJ5" s="1"/>
      <c r="CK5" s="1"/>
      <c r="CL5" s="1"/>
      <c r="CM5" s="1"/>
      <c r="CN5" s="1"/>
      <c r="CO5" s="1"/>
      <c r="CP5" s="1"/>
      <c r="CQ5" s="1"/>
      <c r="CR5" s="1"/>
      <c r="CS5" s="1"/>
      <c r="CT5" s="1"/>
      <c r="CU5" s="1"/>
      <c r="CV5" s="1"/>
      <c r="CW5" s="1"/>
      <c r="CX5" s="1"/>
      <c r="CY5" s="1"/>
      <c r="CZ5" s="1"/>
      <c r="DA5" s="1"/>
      <c r="DB5" s="1"/>
      <c r="DC5" s="1"/>
      <c r="DD5" s="1"/>
      <c r="DE5" s="1"/>
      <c r="DF5" s="1"/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/>
      <c r="DY5" s="1"/>
      <c r="DZ5" s="1"/>
      <c r="EA5" s="1"/>
      <c r="EB5" s="1"/>
      <c r="EC5" s="1"/>
      <c r="ED5" s="1"/>
      <c r="EE5" s="1"/>
      <c r="EF5" s="1"/>
      <c r="EG5" s="1"/>
      <c r="EH5" s="1"/>
      <c r="EI5" s="1"/>
      <c r="EJ5" s="1"/>
      <c r="EK5" s="1"/>
      <c r="EL5" s="1"/>
      <c r="EM5" s="1"/>
      <c r="EN5" s="1"/>
      <c r="EO5" s="1"/>
      <c r="EP5" s="1"/>
      <c r="EQ5" s="1"/>
      <c r="ER5" s="1"/>
      <c r="ES5" s="1"/>
      <c r="ET5" s="1"/>
      <c r="EU5" s="1"/>
      <c r="EV5" s="1"/>
      <c r="EW5" s="1"/>
      <c r="EX5" s="1"/>
      <c r="EY5" s="1"/>
      <c r="EZ5" s="1"/>
      <c r="FA5" s="1"/>
      <c r="FB5" s="1"/>
      <c r="FC5" s="1"/>
      <c r="FD5" s="1"/>
      <c r="FE5" s="1"/>
      <c r="FF5" s="1"/>
      <c r="FG5" s="1"/>
      <c r="FH5" s="1"/>
      <c r="FI5" s="1"/>
      <c r="FJ5" s="1"/>
      <c r="FK5" s="1"/>
      <c r="FL5" s="1"/>
      <c r="FM5" s="1"/>
      <c r="FN5" s="1"/>
      <c r="FO5" s="1"/>
      <c r="FP5" s="1"/>
      <c r="FQ5" s="1"/>
      <c r="FR5" s="1"/>
      <c r="FS5" s="1"/>
      <c r="FT5" s="1"/>
      <c r="FU5" s="1"/>
      <c r="FV5" s="1"/>
      <c r="FW5" s="1"/>
      <c r="FX5" s="1"/>
      <c r="FY5" s="1"/>
      <c r="FZ5" s="1"/>
      <c r="GA5" s="1"/>
      <c r="GB5" s="1"/>
      <c r="GC5" s="1"/>
      <c r="GD5" s="1"/>
      <c r="GE5" s="1"/>
      <c r="GF5" s="1"/>
      <c r="GG5" s="1"/>
      <c r="GH5" s="1"/>
      <c r="GI5" s="1"/>
      <c r="GJ5" s="1"/>
      <c r="GK5" s="1"/>
      <c r="GL5" s="1"/>
      <c r="GM5" s="1"/>
      <c r="GN5" s="1"/>
      <c r="GO5" s="1"/>
      <c r="GP5" s="1"/>
      <c r="GQ5" s="1"/>
      <c r="GR5" s="1"/>
      <c r="GS5" s="1"/>
      <c r="GT5" s="1"/>
      <c r="GU5" s="1"/>
      <c r="GV5" s="1"/>
      <c r="GW5" s="1"/>
      <c r="GX5" s="1"/>
      <c r="GY5" s="1"/>
      <c r="GZ5" s="1"/>
      <c r="HA5" s="1"/>
      <c r="HB5" s="1"/>
      <c r="HC5" s="1"/>
      <c r="HD5" s="1"/>
      <c r="HE5" s="1"/>
      <c r="HF5" s="1"/>
      <c r="HG5" s="1"/>
      <c r="HH5" s="1"/>
      <c r="HI5" s="1"/>
      <c r="HJ5" s="1"/>
      <c r="HK5" s="1"/>
      <c r="HL5" s="1"/>
      <c r="HM5" s="1"/>
      <c r="HN5" s="1"/>
      <c r="HO5" s="1"/>
      <c r="HP5" s="1"/>
      <c r="HQ5" s="1"/>
      <c r="HR5" s="1"/>
      <c r="HS5" s="1"/>
      <c r="HT5" s="1"/>
      <c r="HU5" s="1"/>
      <c r="HV5" s="1"/>
      <c r="HW5" s="1"/>
      <c r="HX5" s="1"/>
      <c r="HY5" s="1"/>
      <c r="HZ5" s="1"/>
      <c r="IA5" s="1"/>
      <c r="IB5" s="1"/>
      <c r="IC5" s="1"/>
      <c r="ID5" s="1"/>
      <c r="IE5" s="1"/>
      <c r="IF5" s="1"/>
      <c r="IG5" s="1"/>
      <c r="IH5" s="1"/>
      <c r="II5" s="1"/>
      <c r="IJ5" s="1"/>
      <c r="IK5" s="1"/>
      <c r="IL5" s="1"/>
      <c r="IM5" s="1"/>
      <c r="IN5" s="1"/>
      <c r="IO5" s="1"/>
      <c r="IP5" s="1"/>
      <c r="IQ5" s="1"/>
      <c r="IR5" s="1"/>
      <c r="IS5" s="1"/>
      <c r="IT5" s="1"/>
      <c r="IU5" s="1"/>
      <c r="IV5" s="1"/>
      <c r="XFD5" s="53"/>
    </row>
    <row r="6" s="5" customFormat="true" ht="15" hidden="false" customHeight="false" outlineLevel="0" collapsed="false">
      <c r="A6" s="6"/>
      <c r="B6" s="14"/>
      <c r="C6" s="11"/>
      <c r="D6" s="12"/>
      <c r="E6" s="11"/>
      <c r="F6" s="12"/>
      <c r="G6" s="12"/>
      <c r="H6" s="11"/>
      <c r="I6" s="8"/>
      <c r="J6" s="10"/>
      <c r="K6" s="3"/>
      <c r="L6" s="3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  <c r="CF6" s="1"/>
      <c r="CG6" s="1"/>
      <c r="CH6" s="1"/>
      <c r="CI6" s="1"/>
      <c r="CJ6" s="1"/>
      <c r="CK6" s="1"/>
      <c r="CL6" s="1"/>
      <c r="CM6" s="1"/>
      <c r="CN6" s="1"/>
      <c r="CO6" s="1"/>
      <c r="CP6" s="1"/>
      <c r="CQ6" s="1"/>
      <c r="CR6" s="1"/>
      <c r="CS6" s="1"/>
      <c r="CT6" s="1"/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/>
      <c r="DM6" s="1"/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1"/>
      <c r="ED6" s="1"/>
      <c r="EE6" s="1"/>
      <c r="EF6" s="1"/>
      <c r="EG6" s="1"/>
      <c r="EH6" s="1"/>
      <c r="EI6" s="1"/>
      <c r="EJ6" s="1"/>
      <c r="EK6" s="1"/>
      <c r="EL6" s="1"/>
      <c r="EM6" s="1"/>
      <c r="EN6" s="1"/>
      <c r="EO6" s="1"/>
      <c r="EP6" s="1"/>
      <c r="EQ6" s="1"/>
      <c r="ER6" s="1"/>
      <c r="ES6" s="1"/>
      <c r="ET6" s="1"/>
      <c r="EU6" s="1"/>
      <c r="EV6" s="1"/>
      <c r="EW6" s="1"/>
      <c r="EX6" s="1"/>
      <c r="EY6" s="1"/>
      <c r="EZ6" s="1"/>
      <c r="FA6" s="1"/>
      <c r="FB6" s="1"/>
      <c r="FC6" s="1"/>
      <c r="FD6" s="1"/>
      <c r="FE6" s="1"/>
      <c r="FF6" s="1"/>
      <c r="FG6" s="1"/>
      <c r="FH6" s="1"/>
      <c r="FI6" s="1"/>
      <c r="FJ6" s="1"/>
      <c r="FK6" s="1"/>
      <c r="FL6" s="1"/>
      <c r="FM6" s="1"/>
      <c r="FN6" s="1"/>
      <c r="FO6" s="1"/>
      <c r="FP6" s="1"/>
      <c r="FQ6" s="1"/>
      <c r="FR6" s="1"/>
      <c r="FS6" s="1"/>
      <c r="FT6" s="1"/>
      <c r="FU6" s="1"/>
      <c r="FV6" s="1"/>
      <c r="FW6" s="1"/>
      <c r="FX6" s="1"/>
      <c r="FY6" s="1"/>
      <c r="FZ6" s="1"/>
      <c r="GA6" s="1"/>
      <c r="GB6" s="1"/>
      <c r="GC6" s="1"/>
      <c r="GD6" s="1"/>
      <c r="GE6" s="1"/>
      <c r="GF6" s="1"/>
      <c r="GG6" s="1"/>
      <c r="GH6" s="1"/>
      <c r="GI6" s="1"/>
      <c r="GJ6" s="1"/>
      <c r="GK6" s="1"/>
      <c r="GL6" s="1"/>
      <c r="GM6" s="1"/>
      <c r="GN6" s="1"/>
      <c r="GO6" s="1"/>
      <c r="GP6" s="1"/>
      <c r="GQ6" s="1"/>
      <c r="GR6" s="1"/>
      <c r="GS6" s="1"/>
      <c r="GT6" s="1"/>
      <c r="GU6" s="1"/>
      <c r="GV6" s="1"/>
      <c r="GW6" s="1"/>
      <c r="GX6" s="1"/>
      <c r="GY6" s="1"/>
      <c r="GZ6" s="1"/>
      <c r="HA6" s="1"/>
      <c r="HB6" s="1"/>
      <c r="HC6" s="1"/>
      <c r="HD6" s="1"/>
      <c r="HE6" s="1"/>
      <c r="HF6" s="1"/>
      <c r="HG6" s="1"/>
      <c r="HH6" s="1"/>
      <c r="HI6" s="1"/>
      <c r="HJ6" s="1"/>
      <c r="HK6" s="1"/>
      <c r="HL6" s="1"/>
      <c r="HM6" s="1"/>
      <c r="HN6" s="1"/>
      <c r="HO6" s="1"/>
      <c r="HP6" s="1"/>
      <c r="HQ6" s="1"/>
      <c r="HR6" s="1"/>
      <c r="HS6" s="1"/>
      <c r="HT6" s="1"/>
      <c r="HU6" s="1"/>
      <c r="HV6" s="1"/>
      <c r="HW6" s="1"/>
      <c r="HX6" s="1"/>
      <c r="HY6" s="1"/>
      <c r="HZ6" s="1"/>
      <c r="IA6" s="1"/>
      <c r="IB6" s="1"/>
      <c r="IC6" s="1"/>
      <c r="ID6" s="1"/>
      <c r="IE6" s="1"/>
      <c r="IF6" s="1"/>
      <c r="IG6" s="1"/>
      <c r="IH6" s="1"/>
      <c r="II6" s="1"/>
      <c r="IJ6" s="1"/>
      <c r="IK6" s="1"/>
      <c r="IL6" s="1"/>
      <c r="IM6" s="1"/>
      <c r="IN6" s="1"/>
      <c r="IO6" s="1"/>
      <c r="IP6" s="1"/>
      <c r="IQ6" s="1"/>
      <c r="IR6" s="1"/>
      <c r="IS6" s="1"/>
      <c r="IT6" s="1"/>
      <c r="IU6" s="1"/>
      <c r="IV6" s="1"/>
      <c r="XFD6" s="53"/>
    </row>
    <row r="7" customFormat="false" ht="99.95" hidden="false" customHeight="false" outlineLevel="0" collapsed="false">
      <c r="A7" s="33"/>
      <c r="B7" s="15" t="s">
        <v>173</v>
      </c>
      <c r="C7" s="33"/>
      <c r="D7" s="33"/>
      <c r="E7" s="33"/>
      <c r="F7" s="33"/>
      <c r="G7" s="33"/>
      <c r="H7" s="33"/>
      <c r="I7" s="33"/>
      <c r="J7" s="33"/>
    </row>
    <row r="8" customFormat="false" ht="15" hidden="false" customHeight="false" outlineLevel="0" collapsed="false">
      <c r="A8" s="33"/>
      <c r="B8" s="52"/>
      <c r="C8" s="33"/>
      <c r="D8" s="33"/>
      <c r="E8" s="33"/>
      <c r="F8" s="33"/>
      <c r="G8" s="33"/>
      <c r="H8" s="33"/>
      <c r="I8" s="33"/>
      <c r="J8" s="33"/>
    </row>
    <row r="9" customFormat="false" ht="15.65" hidden="false" customHeight="false" outlineLevel="0" collapsed="false">
      <c r="A9" s="33"/>
      <c r="B9" s="36" t="s">
        <v>174</v>
      </c>
      <c r="C9" s="33"/>
      <c r="D9" s="33"/>
      <c r="E9" s="33"/>
      <c r="F9" s="33"/>
      <c r="G9" s="33"/>
      <c r="H9" s="33"/>
      <c r="I9" s="33"/>
      <c r="J9" s="33"/>
    </row>
    <row r="10" customFormat="false" ht="66.75" hidden="false" customHeight="true" outlineLevel="0" collapsed="false">
      <c r="A10" s="33"/>
      <c r="B10" s="8" t="s">
        <v>175</v>
      </c>
      <c r="C10" s="54"/>
      <c r="D10" s="54"/>
      <c r="E10" s="33"/>
      <c r="F10" s="55" t="s">
        <v>176</v>
      </c>
      <c r="G10" s="55"/>
      <c r="H10" s="55"/>
      <c r="I10" s="55"/>
      <c r="J10" s="33"/>
    </row>
    <row r="11" customFormat="false" ht="66.75" hidden="false" customHeight="true" outlineLevel="0" collapsed="false">
      <c r="A11" s="33"/>
      <c r="B11" s="8" t="s">
        <v>177</v>
      </c>
      <c r="C11" s="33"/>
      <c r="D11" s="33"/>
      <c r="E11" s="33"/>
      <c r="F11" s="55" t="s">
        <v>178</v>
      </c>
      <c r="G11" s="55"/>
      <c r="H11" s="55"/>
      <c r="I11" s="55"/>
      <c r="J11" s="33"/>
    </row>
    <row r="12" customFormat="false" ht="53.7" hidden="false" customHeight="true" outlineLevel="0" collapsed="false">
      <c r="A12" s="33"/>
      <c r="B12" s="8" t="s">
        <v>179</v>
      </c>
      <c r="C12" s="33"/>
      <c r="D12" s="33"/>
      <c r="E12" s="33"/>
      <c r="F12" s="55" t="s">
        <v>180</v>
      </c>
      <c r="G12" s="55"/>
      <c r="H12" s="55"/>
      <c r="I12" s="55"/>
      <c r="J12" s="33"/>
    </row>
    <row r="13" customFormat="false" ht="15" hidden="false" customHeight="false" outlineLevel="0" collapsed="false">
      <c r="A13" s="33"/>
      <c r="B13" s="52"/>
      <c r="C13" s="33"/>
      <c r="D13" s="33"/>
      <c r="E13" s="33"/>
      <c r="F13" s="33"/>
      <c r="G13" s="33"/>
      <c r="H13" s="33"/>
      <c r="I13" s="33"/>
      <c r="J13" s="33"/>
    </row>
    <row r="14" customFormat="false" ht="15.65" hidden="false" customHeight="false" outlineLevel="0" collapsed="false">
      <c r="A14" s="33"/>
      <c r="B14" s="36" t="s">
        <v>181</v>
      </c>
      <c r="C14" s="33"/>
      <c r="D14" s="33"/>
      <c r="E14" s="33"/>
      <c r="F14" s="33"/>
      <c r="G14" s="33"/>
      <c r="H14" s="33"/>
      <c r="I14" s="33"/>
      <c r="J14" s="33"/>
    </row>
    <row r="15" customFormat="false" ht="15" hidden="false" customHeight="false" outlineLevel="0" collapsed="false">
      <c r="A15" s="33"/>
      <c r="B15" s="29" t="s">
        <v>8</v>
      </c>
      <c r="C15" s="56" t="s">
        <v>9</v>
      </c>
      <c r="D15" s="57" t="s">
        <v>10</v>
      </c>
      <c r="E15" s="58"/>
      <c r="F15" s="57" t="s">
        <v>48</v>
      </c>
      <c r="G15" s="59"/>
      <c r="H15" s="59"/>
      <c r="I15" s="59"/>
      <c r="J15" s="33"/>
    </row>
    <row r="16" customFormat="false" ht="15" hidden="false" customHeight="true" outlineLevel="0" collapsed="false">
      <c r="A16" s="33"/>
      <c r="B16" s="8" t="s">
        <v>182</v>
      </c>
      <c r="C16" s="60" t="n">
        <f aca="false">'Class-E Calculator'!C16</f>
        <v>5</v>
      </c>
      <c r="D16" s="61" t="s">
        <v>12</v>
      </c>
      <c r="E16" s="33"/>
      <c r="F16" s="55" t="s">
        <v>183</v>
      </c>
      <c r="G16" s="55"/>
      <c r="H16" s="55"/>
      <c r="I16" s="55"/>
      <c r="J16" s="33"/>
    </row>
    <row r="17" customFormat="false" ht="15" hidden="false" customHeight="true" outlineLevel="0" collapsed="false">
      <c r="A17" s="33"/>
      <c r="B17" s="8" t="s">
        <v>184</v>
      </c>
      <c r="C17" s="60" t="n">
        <f aca="false">'Class-E Calculator'!C17</f>
        <v>0.4</v>
      </c>
      <c r="D17" s="61" t="s">
        <v>14</v>
      </c>
      <c r="E17" s="33"/>
      <c r="F17" s="55" t="s">
        <v>185</v>
      </c>
      <c r="G17" s="55"/>
      <c r="H17" s="55"/>
      <c r="I17" s="55"/>
      <c r="J17" s="33"/>
    </row>
    <row r="18" customFormat="false" ht="15" hidden="false" customHeight="true" outlineLevel="0" collapsed="false">
      <c r="A18" s="33"/>
      <c r="B18" s="8" t="s">
        <v>186</v>
      </c>
      <c r="C18" s="60" t="n">
        <f aca="false">'Class-E Calculator'!C18</f>
        <v>14</v>
      </c>
      <c r="D18" s="61" t="s">
        <v>16</v>
      </c>
      <c r="E18" s="33"/>
      <c r="F18" s="55" t="s">
        <v>187</v>
      </c>
      <c r="G18" s="55"/>
      <c r="H18" s="55"/>
      <c r="I18" s="55"/>
      <c r="J18" s="33"/>
    </row>
    <row r="19" customFormat="false" ht="15" hidden="false" customHeight="true" outlineLevel="0" collapsed="false">
      <c r="A19" s="33"/>
      <c r="B19" s="8" t="s">
        <v>188</v>
      </c>
      <c r="C19" s="60" t="n">
        <f aca="false">'Class-E Calculator'!C19</f>
        <v>5</v>
      </c>
      <c r="D19" s="61" t="s">
        <v>18</v>
      </c>
      <c r="E19" s="33"/>
      <c r="F19" s="55" t="s">
        <v>189</v>
      </c>
      <c r="G19" s="55"/>
      <c r="H19" s="55"/>
      <c r="I19" s="55"/>
      <c r="J19" s="33"/>
    </row>
    <row r="20" customFormat="false" ht="27.6" hidden="false" customHeight="true" outlineLevel="0" collapsed="false">
      <c r="A20" s="33"/>
      <c r="B20" s="8" t="s">
        <v>190</v>
      </c>
      <c r="C20" s="62" t="n">
        <f aca="false">'Class-E Calculator'!C88</f>
        <v>0.753379099769112</v>
      </c>
      <c r="D20" s="61" t="s">
        <v>18</v>
      </c>
      <c r="E20" s="33"/>
      <c r="F20" s="55" t="s">
        <v>191</v>
      </c>
      <c r="G20" s="55"/>
      <c r="H20" s="55"/>
      <c r="I20" s="55"/>
      <c r="J20" s="33"/>
    </row>
    <row r="21" customFormat="false" ht="15" hidden="false" customHeight="true" outlineLevel="0" collapsed="false">
      <c r="A21" s="33"/>
      <c r="B21" s="8" t="s">
        <v>192</v>
      </c>
      <c r="C21" s="62" t="n">
        <f aca="false">'Class-E Calculator'!C42</f>
        <v>32.289222500631</v>
      </c>
      <c r="D21" s="61" t="s">
        <v>22</v>
      </c>
      <c r="E21" s="33"/>
      <c r="F21" s="55" t="s">
        <v>193</v>
      </c>
      <c r="G21" s="55"/>
      <c r="H21" s="55"/>
      <c r="I21" s="55"/>
      <c r="J21" s="33"/>
    </row>
    <row r="22" customFormat="false" ht="15" hidden="false" customHeight="true" outlineLevel="0" collapsed="false">
      <c r="A22" s="33"/>
      <c r="B22" s="8" t="s">
        <v>194</v>
      </c>
      <c r="C22" s="62" t="n">
        <f aca="false">'Class-E Calculator'!C49</f>
        <v>77.9311809050057</v>
      </c>
      <c r="D22" s="61" t="s">
        <v>30</v>
      </c>
      <c r="E22" s="33"/>
      <c r="F22" s="55" t="s">
        <v>195</v>
      </c>
      <c r="G22" s="55"/>
      <c r="H22" s="55"/>
      <c r="I22" s="55"/>
      <c r="J22" s="33"/>
    </row>
    <row r="23" customFormat="false" ht="15" hidden="false" customHeight="true" outlineLevel="0" collapsed="false">
      <c r="A23" s="33"/>
      <c r="B23" s="8" t="s">
        <v>196</v>
      </c>
      <c r="C23" s="62" t="n">
        <f aca="false">'Class-E Calculator'!C51</f>
        <v>1.83535334627481</v>
      </c>
      <c r="D23" s="61" t="s">
        <v>70</v>
      </c>
      <c r="E23" s="33"/>
      <c r="F23" s="55" t="s">
        <v>197</v>
      </c>
      <c r="G23" s="55"/>
      <c r="H23" s="55"/>
      <c r="I23" s="55"/>
      <c r="J23" s="33"/>
    </row>
    <row r="24" customFormat="false" ht="15" hidden="false" customHeight="true" outlineLevel="0" collapsed="false">
      <c r="A24" s="33"/>
      <c r="B24" s="8" t="s">
        <v>198</v>
      </c>
      <c r="C24" s="62" t="n">
        <f aca="false">'Class-E Calculator'!C53</f>
        <v>93.3213357582762</v>
      </c>
      <c r="D24" s="61" t="s">
        <v>30</v>
      </c>
      <c r="E24" s="33"/>
      <c r="F24" s="55" t="s">
        <v>199</v>
      </c>
      <c r="G24" s="55"/>
      <c r="H24" s="55"/>
      <c r="I24" s="55"/>
      <c r="J24" s="33"/>
    </row>
    <row r="25" customFormat="false" ht="15" hidden="false" customHeight="true" outlineLevel="0" collapsed="false">
      <c r="A25" s="33"/>
      <c r="B25" s="8" t="s">
        <v>200</v>
      </c>
      <c r="C25" s="62" t="n">
        <f aca="false">'Class-E Calculator'!C55</f>
        <v>18.3535334627481</v>
      </c>
      <c r="D25" s="61" t="s">
        <v>70</v>
      </c>
      <c r="E25" s="33"/>
      <c r="F25" s="55" t="s">
        <v>201</v>
      </c>
      <c r="G25" s="55"/>
      <c r="H25" s="55"/>
      <c r="I25" s="55"/>
      <c r="J25" s="33"/>
    </row>
    <row r="26" customFormat="false" ht="15" hidden="false" customHeight="true" outlineLevel="0" collapsed="false">
      <c r="A26" s="33"/>
      <c r="B26" s="8" t="s">
        <v>202</v>
      </c>
      <c r="C26" s="60" t="n">
        <f aca="false">'Class-E Calculator'!C32</f>
        <v>12</v>
      </c>
      <c r="D26" s="61" t="s">
        <v>30</v>
      </c>
      <c r="E26" s="33"/>
      <c r="F26" s="55" t="s">
        <v>203</v>
      </c>
      <c r="G26" s="55"/>
      <c r="H26" s="55"/>
      <c r="I26" s="55"/>
      <c r="J26" s="33"/>
    </row>
    <row r="27" customFormat="false" ht="15" hidden="false" customHeight="true" outlineLevel="0" collapsed="false">
      <c r="A27" s="33"/>
      <c r="B27" s="8" t="s">
        <v>204</v>
      </c>
      <c r="C27" s="60" t="n">
        <f aca="false">'Class-E Calculator'!C36</f>
        <v>0.4</v>
      </c>
      <c r="D27" s="61" t="s">
        <v>18</v>
      </c>
      <c r="E27" s="33"/>
      <c r="F27" s="55" t="s">
        <v>205</v>
      </c>
      <c r="G27" s="55"/>
      <c r="H27" s="55"/>
      <c r="I27" s="55"/>
      <c r="J27" s="33"/>
    </row>
    <row r="28" customFormat="false" ht="15" hidden="false" customHeight="true" outlineLevel="0" collapsed="false">
      <c r="A28" s="33"/>
      <c r="B28" s="8" t="s">
        <v>206</v>
      </c>
      <c r="C28" s="60" t="n">
        <f aca="false">'Class-E Calculator'!C27</f>
        <v>60</v>
      </c>
      <c r="D28" s="61" t="s">
        <v>30</v>
      </c>
      <c r="E28" s="33"/>
      <c r="F28" s="55" t="s">
        <v>207</v>
      </c>
      <c r="G28" s="55"/>
      <c r="H28" s="55"/>
      <c r="I28" s="55"/>
      <c r="J28" s="33"/>
    </row>
    <row r="29" customFormat="false" ht="15" hidden="false" customHeight="true" outlineLevel="0" collapsed="false">
      <c r="A29" s="33"/>
      <c r="B29" s="8" t="s">
        <v>208</v>
      </c>
      <c r="C29" s="62" t="n">
        <f aca="false">'Class-E Calculator'!C43</f>
        <v>0.106188239127576</v>
      </c>
      <c r="D29" s="61" t="s">
        <v>55</v>
      </c>
      <c r="E29" s="33"/>
      <c r="F29" s="55" t="s">
        <v>209</v>
      </c>
      <c r="G29" s="55"/>
      <c r="H29" s="55"/>
      <c r="I29" s="55"/>
      <c r="J29" s="33"/>
    </row>
    <row r="30" customFormat="false" ht="15" hidden="false" customHeight="true" outlineLevel="0" collapsed="false">
      <c r="A30" s="33"/>
      <c r="B30" s="8" t="s">
        <v>210</v>
      </c>
      <c r="C30" s="62" t="n">
        <f aca="false">'Class-E Calculator'!C83</f>
        <v>17.81</v>
      </c>
      <c r="D30" s="61" t="s">
        <v>12</v>
      </c>
      <c r="E30" s="33"/>
      <c r="F30" s="55" t="s">
        <v>211</v>
      </c>
      <c r="G30" s="55"/>
      <c r="H30" s="55"/>
      <c r="I30" s="55"/>
      <c r="J30" s="33"/>
    </row>
    <row r="31" customFormat="false" ht="15" hidden="false" customHeight="true" outlineLevel="0" collapsed="false">
      <c r="A31" s="33"/>
      <c r="B31" s="8" t="s">
        <v>212</v>
      </c>
      <c r="C31" s="62" t="n">
        <f aca="false">'Class-E Calculator'!C84</f>
        <v>53.43</v>
      </c>
      <c r="D31" s="61" t="s">
        <v>12</v>
      </c>
      <c r="E31" s="33"/>
      <c r="F31" s="55" t="s">
        <v>213</v>
      </c>
      <c r="G31" s="55"/>
      <c r="H31" s="55"/>
      <c r="I31" s="55"/>
      <c r="J31" s="33"/>
    </row>
    <row r="32" customFormat="false" ht="15" hidden="false" customHeight="true" outlineLevel="0" collapsed="false">
      <c r="A32" s="33"/>
      <c r="B32" s="8" t="s">
        <v>214</v>
      </c>
      <c r="C32" s="62" t="n">
        <f aca="false">'Class-E Calculator'!C41</f>
        <v>87964594.3005142</v>
      </c>
      <c r="D32" s="61" t="s">
        <v>50</v>
      </c>
      <c r="E32" s="33"/>
      <c r="F32" s="55" t="s">
        <v>215</v>
      </c>
      <c r="G32" s="55"/>
      <c r="H32" s="55"/>
      <c r="I32" s="55"/>
      <c r="J32" s="33"/>
    </row>
    <row r="33" customFormat="false" ht="15" hidden="false" customHeight="false" outlineLevel="0" collapsed="false">
      <c r="A33" s="33"/>
      <c r="B33" s="52"/>
      <c r="C33" s="33"/>
      <c r="D33" s="33"/>
      <c r="E33" s="33"/>
      <c r="F33" s="33"/>
      <c r="G33" s="33"/>
      <c r="H33" s="33"/>
      <c r="I33" s="33"/>
      <c r="J33" s="33"/>
    </row>
    <row r="34" customFormat="false" ht="15.65" hidden="false" customHeight="false" outlineLevel="0" collapsed="false">
      <c r="A34" s="33"/>
      <c r="B34" s="36" t="s">
        <v>216</v>
      </c>
      <c r="C34" s="33"/>
      <c r="D34" s="33"/>
      <c r="E34" s="33"/>
      <c r="F34" s="33"/>
      <c r="G34" s="33"/>
      <c r="H34" s="33"/>
      <c r="I34" s="33"/>
      <c r="J34" s="33"/>
    </row>
    <row r="35" customFormat="false" ht="15" hidden="false" customHeight="false" outlineLevel="0" collapsed="false">
      <c r="A35" s="33"/>
      <c r="B35" s="29" t="s">
        <v>8</v>
      </c>
      <c r="C35" s="56" t="s">
        <v>217</v>
      </c>
      <c r="D35" s="56" t="s">
        <v>218</v>
      </c>
      <c r="E35" s="56" t="s">
        <v>219</v>
      </c>
      <c r="F35" s="57" t="s">
        <v>220</v>
      </c>
      <c r="G35" s="63"/>
      <c r="H35" s="57" t="s">
        <v>221</v>
      </c>
      <c r="I35" s="59"/>
      <c r="J35" s="33"/>
    </row>
    <row r="36" customFormat="false" ht="66.75" hidden="false" customHeight="true" outlineLevel="0" collapsed="false">
      <c r="A36" s="33"/>
      <c r="B36" s="8" t="s">
        <v>222</v>
      </c>
      <c r="C36" s="64" t="s">
        <v>223</v>
      </c>
      <c r="D36" s="64" t="s">
        <v>224</v>
      </c>
      <c r="E36" s="64" t="s">
        <v>225</v>
      </c>
      <c r="F36" s="55" t="s">
        <v>226</v>
      </c>
      <c r="G36" s="55"/>
      <c r="H36" s="55" t="s">
        <v>227</v>
      </c>
      <c r="I36" s="55"/>
      <c r="J36" s="33"/>
    </row>
    <row r="37" customFormat="false" ht="66.75" hidden="false" customHeight="true" outlineLevel="0" collapsed="false">
      <c r="A37" s="33"/>
      <c r="B37" s="8" t="s">
        <v>228</v>
      </c>
      <c r="C37" s="64" t="s">
        <v>229</v>
      </c>
      <c r="D37" s="64" t="s">
        <v>230</v>
      </c>
      <c r="E37" s="64" t="s">
        <v>231</v>
      </c>
      <c r="F37" s="55" t="s">
        <v>232</v>
      </c>
      <c r="G37" s="55"/>
      <c r="H37" s="55" t="s">
        <v>233</v>
      </c>
      <c r="I37" s="55"/>
      <c r="J37" s="33"/>
    </row>
    <row r="38" customFormat="false" ht="66.75" hidden="false" customHeight="true" outlineLevel="0" collapsed="false">
      <c r="A38" s="33"/>
      <c r="B38" s="8" t="s">
        <v>234</v>
      </c>
      <c r="C38" s="64" t="s">
        <v>235</v>
      </c>
      <c r="D38" s="64" t="s">
        <v>236</v>
      </c>
      <c r="E38" s="64" t="s">
        <v>231</v>
      </c>
      <c r="F38" s="55" t="s">
        <v>237</v>
      </c>
      <c r="G38" s="55"/>
      <c r="H38" s="55" t="s">
        <v>238</v>
      </c>
      <c r="I38" s="55"/>
      <c r="J38" s="33"/>
    </row>
    <row r="39" customFormat="false" ht="105.75" hidden="false" customHeight="true" outlineLevel="0" collapsed="false">
      <c r="A39" s="33"/>
      <c r="B39" s="8" t="s">
        <v>239</v>
      </c>
      <c r="C39" s="64" t="s">
        <v>240</v>
      </c>
      <c r="D39" s="64" t="s">
        <v>241</v>
      </c>
      <c r="E39" s="64" t="s">
        <v>231</v>
      </c>
      <c r="F39" s="55" t="s">
        <v>242</v>
      </c>
      <c r="G39" s="55"/>
      <c r="H39" s="55" t="s">
        <v>243</v>
      </c>
      <c r="I39" s="55"/>
      <c r="J39" s="33"/>
    </row>
    <row r="40" customFormat="false" ht="53.7" hidden="false" customHeight="true" outlineLevel="0" collapsed="false">
      <c r="A40" s="33"/>
      <c r="B40" s="8" t="s">
        <v>244</v>
      </c>
      <c r="C40" s="64" t="s">
        <v>245</v>
      </c>
      <c r="D40" s="64" t="s">
        <v>246</v>
      </c>
      <c r="E40" s="64" t="s">
        <v>225</v>
      </c>
      <c r="F40" s="55" t="s">
        <v>247</v>
      </c>
      <c r="G40" s="55"/>
      <c r="H40" s="55" t="s">
        <v>248</v>
      </c>
      <c r="I40" s="55"/>
      <c r="J40" s="33"/>
    </row>
    <row r="41" customFormat="false" ht="40.5" hidden="false" customHeight="true" outlineLevel="0" collapsed="false">
      <c r="A41" s="33"/>
      <c r="B41" s="8" t="s">
        <v>249</v>
      </c>
      <c r="C41" s="64" t="s">
        <v>250</v>
      </c>
      <c r="D41" s="64" t="s">
        <v>251</v>
      </c>
      <c r="E41" s="64" t="s">
        <v>231</v>
      </c>
      <c r="F41" s="55" t="s">
        <v>252</v>
      </c>
      <c r="G41" s="55"/>
      <c r="H41" s="55" t="s">
        <v>253</v>
      </c>
      <c r="I41" s="55"/>
      <c r="J41" s="33"/>
    </row>
    <row r="42" customFormat="false" ht="92.9" hidden="false" customHeight="true" outlineLevel="0" collapsed="false">
      <c r="A42" s="33"/>
      <c r="B42" s="8" t="s">
        <v>254</v>
      </c>
      <c r="C42" s="64" t="s">
        <v>255</v>
      </c>
      <c r="D42" s="64" t="s">
        <v>256</v>
      </c>
      <c r="E42" s="64" t="s">
        <v>225</v>
      </c>
      <c r="F42" s="55" t="s">
        <v>257</v>
      </c>
      <c r="G42" s="55"/>
      <c r="H42" s="55" t="s">
        <v>258</v>
      </c>
      <c r="I42" s="55"/>
      <c r="J42" s="33"/>
    </row>
    <row r="43" customFormat="false" ht="66.75" hidden="false" customHeight="true" outlineLevel="0" collapsed="false">
      <c r="A43" s="33"/>
      <c r="B43" s="8" t="s">
        <v>259</v>
      </c>
      <c r="C43" s="64" t="s">
        <v>260</v>
      </c>
      <c r="D43" s="64" t="s">
        <v>260</v>
      </c>
      <c r="E43" s="64" t="s">
        <v>261</v>
      </c>
      <c r="F43" s="55" t="s">
        <v>262</v>
      </c>
      <c r="G43" s="55"/>
      <c r="H43" s="55" t="s">
        <v>263</v>
      </c>
      <c r="I43" s="55"/>
      <c r="J43" s="33"/>
    </row>
    <row r="44" customFormat="false" ht="66.75" hidden="false" customHeight="true" outlineLevel="0" collapsed="false">
      <c r="A44" s="33"/>
      <c r="B44" s="8" t="s">
        <v>264</v>
      </c>
      <c r="C44" s="64" t="s">
        <v>265</v>
      </c>
      <c r="D44" s="64" t="s">
        <v>265</v>
      </c>
      <c r="E44" s="64" t="s">
        <v>266</v>
      </c>
      <c r="F44" s="55" t="s">
        <v>267</v>
      </c>
      <c r="G44" s="55"/>
      <c r="H44" s="55" t="s">
        <v>268</v>
      </c>
      <c r="I44" s="55"/>
      <c r="J44" s="33"/>
    </row>
    <row r="45" customFormat="false" ht="79.5" hidden="false" customHeight="true" outlineLevel="0" collapsed="false">
      <c r="A45" s="33"/>
      <c r="B45" s="8" t="s">
        <v>269</v>
      </c>
      <c r="C45" s="64" t="s">
        <v>270</v>
      </c>
      <c r="D45" s="64" t="s">
        <v>271</v>
      </c>
      <c r="E45" s="64" t="s">
        <v>225</v>
      </c>
      <c r="F45" s="55" t="s">
        <v>272</v>
      </c>
      <c r="G45" s="55"/>
      <c r="H45" s="55" t="s">
        <v>273</v>
      </c>
      <c r="I45" s="55"/>
      <c r="J45" s="33"/>
    </row>
    <row r="46" customFormat="false" ht="132" hidden="false" customHeight="true" outlineLevel="0" collapsed="false">
      <c r="A46" s="33"/>
      <c r="B46" s="8" t="s">
        <v>274</v>
      </c>
      <c r="C46" s="64" t="s">
        <v>275</v>
      </c>
      <c r="D46" s="64" t="s">
        <v>276</v>
      </c>
      <c r="E46" s="64" t="s">
        <v>231</v>
      </c>
      <c r="F46" s="55" t="s">
        <v>277</v>
      </c>
      <c r="G46" s="55"/>
      <c r="H46" s="55" t="s">
        <v>278</v>
      </c>
      <c r="I46" s="55"/>
      <c r="J46" s="33"/>
    </row>
    <row r="47" customFormat="false" ht="132" hidden="false" customHeight="true" outlineLevel="0" collapsed="false">
      <c r="A47" s="33"/>
      <c r="B47" s="8" t="s">
        <v>279</v>
      </c>
      <c r="C47" s="64" t="s">
        <v>280</v>
      </c>
      <c r="D47" s="64" t="s">
        <v>281</v>
      </c>
      <c r="E47" s="64" t="s">
        <v>282</v>
      </c>
      <c r="F47" s="55" t="s">
        <v>283</v>
      </c>
      <c r="G47" s="55"/>
      <c r="H47" s="55" t="s">
        <v>284</v>
      </c>
      <c r="I47" s="55"/>
      <c r="J47" s="33"/>
    </row>
    <row r="48" customFormat="false" ht="79.5" hidden="false" customHeight="true" outlineLevel="0" collapsed="false">
      <c r="A48" s="33"/>
      <c r="B48" s="8" t="s">
        <v>285</v>
      </c>
      <c r="C48" s="64" t="s">
        <v>286</v>
      </c>
      <c r="D48" s="64" t="s">
        <v>287</v>
      </c>
      <c r="E48" s="64" t="s">
        <v>225</v>
      </c>
      <c r="F48" s="55" t="s">
        <v>288</v>
      </c>
      <c r="G48" s="55"/>
      <c r="H48" s="55" t="s">
        <v>289</v>
      </c>
      <c r="I48" s="55"/>
      <c r="J48" s="33"/>
    </row>
    <row r="49" customFormat="false" ht="92.9" hidden="false" customHeight="true" outlineLevel="0" collapsed="false">
      <c r="A49" s="33"/>
      <c r="B49" s="8" t="s">
        <v>290</v>
      </c>
      <c r="C49" s="64" t="s">
        <v>291</v>
      </c>
      <c r="D49" s="64" t="s">
        <v>292</v>
      </c>
      <c r="E49" s="64" t="s">
        <v>293</v>
      </c>
      <c r="F49" s="55" t="s">
        <v>294</v>
      </c>
      <c r="G49" s="55"/>
      <c r="H49" s="55" t="s">
        <v>295</v>
      </c>
      <c r="I49" s="55"/>
      <c r="J49" s="33"/>
    </row>
    <row r="50" customFormat="false" ht="66.75" hidden="false" customHeight="true" outlineLevel="0" collapsed="false">
      <c r="A50" s="33"/>
      <c r="B50" s="8" t="s">
        <v>296</v>
      </c>
      <c r="C50" s="64" t="s">
        <v>297</v>
      </c>
      <c r="D50" s="64" t="s">
        <v>298</v>
      </c>
      <c r="E50" s="64" t="s">
        <v>225</v>
      </c>
      <c r="F50" s="55" t="s">
        <v>299</v>
      </c>
      <c r="G50" s="55"/>
      <c r="H50" s="55" t="s">
        <v>300</v>
      </c>
      <c r="I50" s="55"/>
      <c r="J50" s="33"/>
    </row>
    <row r="51" customFormat="false" ht="15" hidden="false" customHeight="false" outlineLevel="0" collapsed="false">
      <c r="A51" s="33"/>
      <c r="B51" s="52"/>
      <c r="C51" s="33"/>
      <c r="D51" s="33"/>
      <c r="E51" s="33"/>
      <c r="F51" s="33"/>
      <c r="G51" s="33"/>
      <c r="H51" s="33"/>
      <c r="I51" s="33"/>
      <c r="J51" s="33"/>
    </row>
    <row r="52" customFormat="false" ht="15.65" hidden="false" customHeight="false" outlineLevel="0" collapsed="false">
      <c r="A52" s="33"/>
      <c r="B52" s="36" t="s">
        <v>301</v>
      </c>
      <c r="C52" s="33"/>
      <c r="D52" s="33"/>
      <c r="E52" s="33"/>
      <c r="F52" s="33"/>
      <c r="G52" s="33"/>
      <c r="H52" s="33"/>
      <c r="I52" s="33"/>
      <c r="J52" s="33"/>
    </row>
    <row r="53" customFormat="false" ht="63" hidden="false" customHeight="false" outlineLevel="0" collapsed="false">
      <c r="A53" s="33"/>
      <c r="B53" s="15" t="s">
        <v>302</v>
      </c>
      <c r="C53" s="33"/>
      <c r="D53" s="33"/>
      <c r="E53" s="33"/>
      <c r="F53" s="33"/>
      <c r="G53" s="33"/>
      <c r="H53" s="33"/>
      <c r="I53" s="33"/>
      <c r="J53" s="33"/>
    </row>
    <row r="54" customFormat="false" ht="15" hidden="false" customHeight="false" outlineLevel="0" collapsed="false">
      <c r="A54" s="33"/>
      <c r="B54" s="15"/>
      <c r="C54" s="33"/>
      <c r="D54" s="33"/>
      <c r="E54" s="33"/>
      <c r="F54" s="33"/>
      <c r="G54" s="33"/>
      <c r="H54" s="33"/>
      <c r="I54" s="33"/>
      <c r="J54" s="33"/>
    </row>
    <row r="55" customFormat="false" ht="15" hidden="false" customHeight="false" outlineLevel="0" collapsed="false">
      <c r="A55" s="33"/>
      <c r="B55" s="29" t="s">
        <v>8</v>
      </c>
      <c r="C55" s="56" t="s">
        <v>303</v>
      </c>
      <c r="D55" s="56" t="s">
        <v>304</v>
      </c>
      <c r="E55" s="56" t="s">
        <v>305</v>
      </c>
      <c r="F55" s="56" t="s">
        <v>306</v>
      </c>
      <c r="G55" s="56" t="s">
        <v>307</v>
      </c>
      <c r="H55" s="56" t="s">
        <v>308</v>
      </c>
      <c r="I55" s="57" t="s">
        <v>309</v>
      </c>
      <c r="J55" s="33"/>
    </row>
    <row r="56" customFormat="false" ht="15" hidden="false" customHeight="false" outlineLevel="0" collapsed="false">
      <c r="A56" s="33"/>
      <c r="B56" s="47" t="s">
        <v>310</v>
      </c>
      <c r="C56" s="54"/>
      <c r="D56" s="54"/>
      <c r="E56" s="54"/>
      <c r="F56" s="54"/>
      <c r="G56" s="54"/>
      <c r="H56" s="54"/>
      <c r="I56" s="54"/>
      <c r="J56" s="33"/>
    </row>
    <row r="57" customFormat="false" ht="15" hidden="false" customHeight="false" outlineLevel="0" collapsed="false">
      <c r="A57" s="33"/>
      <c r="B57" s="8" t="s">
        <v>311</v>
      </c>
      <c r="C57" s="65" t="n">
        <f aca="false">C17*1</f>
        <v>0.4</v>
      </c>
      <c r="D57" s="65" t="n">
        <f aca="false">C17*2</f>
        <v>0.8</v>
      </c>
      <c r="E57" s="65" t="n">
        <f aca="false">C17*3</f>
        <v>1.2</v>
      </c>
      <c r="F57" s="65" t="n">
        <f aca="false">C17*4</f>
        <v>1.6</v>
      </c>
      <c r="G57" s="65" t="n">
        <f aca="false">C17*6</f>
        <v>2.4</v>
      </c>
      <c r="H57" s="65" t="n">
        <f aca="false">C17*8</f>
        <v>3.2</v>
      </c>
      <c r="I57" s="66" t="s">
        <v>312</v>
      </c>
      <c r="J57" s="33"/>
    </row>
    <row r="58" customFormat="false" ht="15" hidden="false" customHeight="false" outlineLevel="0" collapsed="false">
      <c r="A58" s="33"/>
      <c r="B58" s="8" t="s">
        <v>313</v>
      </c>
      <c r="C58" s="65" t="n">
        <f aca="false">C17*1*0.9</f>
        <v>0.36</v>
      </c>
      <c r="D58" s="65" t="n">
        <f aca="false">C17*2*0.9</f>
        <v>0.72</v>
      </c>
      <c r="E58" s="65" t="n">
        <f aca="false">C17*3*0.9</f>
        <v>1.08</v>
      </c>
      <c r="F58" s="65" t="n">
        <f aca="false">C17*4*0.9</f>
        <v>1.44</v>
      </c>
      <c r="G58" s="65" t="n">
        <f aca="false">C17*6*0.9</f>
        <v>2.16</v>
      </c>
      <c r="H58" s="65" t="n">
        <f aca="false">C17*8*0.9</f>
        <v>2.88</v>
      </c>
      <c r="I58" s="66" t="s">
        <v>314</v>
      </c>
      <c r="J58" s="33"/>
    </row>
    <row r="59" customFormat="false" ht="15" hidden="false" customHeight="false" outlineLevel="0" collapsed="false">
      <c r="A59" s="33"/>
      <c r="B59" s="8" t="s">
        <v>315</v>
      </c>
      <c r="C59" s="65" t="n">
        <f aca="false">1</f>
        <v>1</v>
      </c>
      <c r="D59" s="65" t="n">
        <f aca="false">2</f>
        <v>2</v>
      </c>
      <c r="E59" s="65" t="n">
        <f aca="false">3</f>
        <v>3</v>
      </c>
      <c r="F59" s="65" t="n">
        <f aca="false">4</f>
        <v>4</v>
      </c>
      <c r="G59" s="65" t="n">
        <f aca="false">6</f>
        <v>6</v>
      </c>
      <c r="H59" s="65" t="n">
        <f aca="false">8</f>
        <v>8</v>
      </c>
      <c r="I59" s="66" t="s">
        <v>316</v>
      </c>
      <c r="J59" s="33"/>
    </row>
    <row r="60" customFormat="false" ht="15" hidden="false" customHeight="false" outlineLevel="0" collapsed="false">
      <c r="A60" s="33"/>
      <c r="B60" s="8" t="s">
        <v>317</v>
      </c>
      <c r="C60" s="65" t="n">
        <f aca="false">10*LOG10(1)</f>
        <v>0</v>
      </c>
      <c r="D60" s="65" t="n">
        <f aca="false">10*LOG10(2)</f>
        <v>3.01029995663981</v>
      </c>
      <c r="E60" s="65" t="n">
        <f aca="false">10*LOG10(3)</f>
        <v>4.77121254719662</v>
      </c>
      <c r="F60" s="65" t="n">
        <f aca="false">10*LOG10(4)</f>
        <v>6.02059991327962</v>
      </c>
      <c r="G60" s="65" t="n">
        <f aca="false">10*LOG10(6)</f>
        <v>7.78151250383644</v>
      </c>
      <c r="H60" s="65" t="n">
        <f aca="false">10*LOG10(8)</f>
        <v>9.03089986991944</v>
      </c>
      <c r="I60" s="66" t="s">
        <v>318</v>
      </c>
      <c r="J60" s="33"/>
    </row>
    <row r="61" customFormat="false" ht="15" hidden="false" customHeight="false" outlineLevel="0" collapsed="false">
      <c r="A61" s="33"/>
      <c r="B61" s="8" t="s">
        <v>319</v>
      </c>
      <c r="C61" s="65" t="n">
        <f aca="false">('Class-E Calculator'!C16-'Class-E Calculator'!C35)*C29*1</f>
        <v>0.530941195637878</v>
      </c>
      <c r="D61" s="65" t="n">
        <f aca="false">('Class-E Calculator'!C16-'Class-E Calculator'!C35)*C29*2</f>
        <v>1.06188239127576</v>
      </c>
      <c r="E61" s="65" t="n">
        <f aca="false">('Class-E Calculator'!C16-'Class-E Calculator'!C35)*C29*3</f>
        <v>1.59282358691363</v>
      </c>
      <c r="F61" s="65" t="n">
        <f aca="false">('Class-E Calculator'!C16-'Class-E Calculator'!C35)*C29*4</f>
        <v>2.12376478255151</v>
      </c>
      <c r="G61" s="65" t="n">
        <f aca="false">('Class-E Calculator'!C16-'Class-E Calculator'!C35)*C29*6</f>
        <v>3.18564717382727</v>
      </c>
      <c r="H61" s="65" t="n">
        <f aca="false">('Class-E Calculator'!C16-'Class-E Calculator'!C35)*C29*8</f>
        <v>4.24752956510302</v>
      </c>
      <c r="I61" s="66" t="s">
        <v>320</v>
      </c>
      <c r="J61" s="33"/>
    </row>
    <row r="62" customFormat="false" ht="15" hidden="false" customHeight="false" outlineLevel="0" collapsed="false">
      <c r="A62" s="33"/>
      <c r="B62" s="8" t="s">
        <v>321</v>
      </c>
      <c r="C62" s="65" t="n">
        <f aca="false">('Class-E Calculator'!C16-'Class-E Calculator'!C35)*C29*1-C17*1</f>
        <v>0.130941195637878</v>
      </c>
      <c r="D62" s="65" t="n">
        <f aca="false">('Class-E Calculator'!C16-'Class-E Calculator'!C35)*C29*2-C17*2</f>
        <v>0.261882391275755</v>
      </c>
      <c r="E62" s="65" t="n">
        <f aca="false">('Class-E Calculator'!C16-'Class-E Calculator'!C35)*C29*3-C17*3</f>
        <v>0.392823586913633</v>
      </c>
      <c r="F62" s="65" t="n">
        <f aca="false">('Class-E Calculator'!C16-'Class-E Calculator'!C35)*C29*4-C17*4</f>
        <v>0.523764782551511</v>
      </c>
      <c r="G62" s="65" t="n">
        <f aca="false">('Class-E Calculator'!C16-'Class-E Calculator'!C35)*C29*6-C17*6</f>
        <v>0.785647173827266</v>
      </c>
      <c r="H62" s="65" t="n">
        <f aca="false">('Class-E Calculator'!C16-'Class-E Calculator'!C35)*C29*8-C17*8</f>
        <v>1.04752956510302</v>
      </c>
      <c r="I62" s="66" t="s">
        <v>322</v>
      </c>
      <c r="J62" s="33"/>
    </row>
    <row r="63" customFormat="false" ht="15" hidden="false" customHeight="false" outlineLevel="0" collapsed="false">
      <c r="A63" s="33"/>
      <c r="B63" s="8" t="s">
        <v>323</v>
      </c>
      <c r="C63" s="65" t="n">
        <f aca="false">('Class-E Calculator'!C16-'Class-E Calculator'!C35)*C29-C17</f>
        <v>0.130941195637878</v>
      </c>
      <c r="D63" s="65" t="n">
        <f aca="false">('Class-E Calculator'!C16-'Class-E Calculator'!C35)*C29-C17</f>
        <v>0.130941195637878</v>
      </c>
      <c r="E63" s="65" t="n">
        <f aca="false">('Class-E Calculator'!C16-'Class-E Calculator'!C35)*C29-C17</f>
        <v>0.130941195637878</v>
      </c>
      <c r="F63" s="65" t="n">
        <f aca="false">('Class-E Calculator'!C16-'Class-E Calculator'!C35)*C29-C17</f>
        <v>0.130941195637878</v>
      </c>
      <c r="G63" s="65" t="n">
        <f aca="false">('Class-E Calculator'!C16-'Class-E Calculator'!C35)*C29-C17</f>
        <v>0.130941195637878</v>
      </c>
      <c r="H63" s="65" t="n">
        <f aca="false">('Class-E Calculator'!C16-'Class-E Calculator'!C35)*C29-C17</f>
        <v>0.130941195637878</v>
      </c>
      <c r="I63" s="66" t="s">
        <v>324</v>
      </c>
      <c r="J63" s="33"/>
    </row>
    <row r="64" customFormat="false" ht="15" hidden="false" customHeight="false" outlineLevel="0" collapsed="false">
      <c r="A64" s="33"/>
      <c r="B64" s="8" t="s">
        <v>325</v>
      </c>
      <c r="C64" s="65" t="n">
        <f aca="false">C29</f>
        <v>0.106188239127576</v>
      </c>
      <c r="D64" s="65" t="n">
        <f aca="false">C29</f>
        <v>0.106188239127576</v>
      </c>
      <c r="E64" s="65" t="n">
        <f aca="false">C29</f>
        <v>0.106188239127576</v>
      </c>
      <c r="F64" s="65" t="n">
        <f aca="false">C29</f>
        <v>0.106188239127576</v>
      </c>
      <c r="G64" s="65" t="n">
        <f aca="false">C29</f>
        <v>0.106188239127576</v>
      </c>
      <c r="H64" s="65" t="n">
        <f aca="false">C29</f>
        <v>0.106188239127576</v>
      </c>
      <c r="I64" s="66" t="s">
        <v>326</v>
      </c>
      <c r="J64" s="33"/>
    </row>
    <row r="65" customFormat="false" ht="15" hidden="false" customHeight="false" outlineLevel="0" collapsed="false">
      <c r="A65" s="33"/>
      <c r="B65" s="8" t="s">
        <v>327</v>
      </c>
      <c r="C65" s="65" t="n">
        <f aca="false">C29*1</f>
        <v>0.106188239127576</v>
      </c>
      <c r="D65" s="65" t="n">
        <f aca="false">C29*2</f>
        <v>0.212376478255151</v>
      </c>
      <c r="E65" s="65" t="n">
        <f aca="false">C29*3</f>
        <v>0.318564717382727</v>
      </c>
      <c r="F65" s="65" t="n">
        <f aca="false">C29*4</f>
        <v>0.424752956510302</v>
      </c>
      <c r="G65" s="65" t="n">
        <f aca="false">C29*6</f>
        <v>0.637129434765453</v>
      </c>
      <c r="H65" s="65" t="n">
        <f aca="false">C29*8</f>
        <v>0.849505913020604</v>
      </c>
      <c r="I65" s="66" t="s">
        <v>328</v>
      </c>
      <c r="J65" s="33"/>
    </row>
    <row r="66" customFormat="false" ht="15" hidden="false" customHeight="false" outlineLevel="0" collapsed="false">
      <c r="A66" s="33"/>
      <c r="B66" s="8" t="s">
        <v>329</v>
      </c>
      <c r="C66" s="65" t="n">
        <f aca="false">2.862*C29</f>
        <v>0.303910740383121</v>
      </c>
      <c r="D66" s="65" t="n">
        <f aca="false">2.862*C29</f>
        <v>0.303910740383121</v>
      </c>
      <c r="E66" s="65" t="n">
        <f aca="false">2.862*C29</f>
        <v>0.303910740383121</v>
      </c>
      <c r="F66" s="65" t="n">
        <f aca="false">2.862*C29</f>
        <v>0.303910740383121</v>
      </c>
      <c r="G66" s="65" t="n">
        <f aca="false">2.862*C29</f>
        <v>0.303910740383121</v>
      </c>
      <c r="H66" s="65" t="n">
        <f aca="false">2.862*C29</f>
        <v>0.303910740383121</v>
      </c>
      <c r="I66" s="66" t="s">
        <v>330</v>
      </c>
      <c r="J66" s="33"/>
    </row>
    <row r="67" customFormat="false" ht="15" hidden="false" customHeight="false" outlineLevel="0" collapsed="false">
      <c r="A67" s="33"/>
      <c r="B67" s="8"/>
      <c r="C67" s="65"/>
      <c r="D67" s="65"/>
      <c r="E67" s="65"/>
      <c r="F67" s="65"/>
      <c r="G67" s="65"/>
      <c r="H67" s="65"/>
      <c r="I67" s="66"/>
      <c r="J67" s="33"/>
    </row>
    <row r="68" customFormat="false" ht="15" hidden="false" customHeight="false" outlineLevel="0" collapsed="false">
      <c r="A68" s="33"/>
      <c r="B68" s="47" t="s">
        <v>331</v>
      </c>
      <c r="C68" s="67"/>
      <c r="D68" s="67"/>
      <c r="E68" s="67"/>
      <c r="F68" s="67"/>
      <c r="G68" s="67"/>
      <c r="H68" s="67"/>
      <c r="I68" s="54"/>
      <c r="J68" s="33"/>
    </row>
    <row r="69" customFormat="false" ht="15" hidden="false" customHeight="false" outlineLevel="0" collapsed="false">
      <c r="A69" s="33"/>
      <c r="B69" s="8" t="s">
        <v>332</v>
      </c>
      <c r="C69" s="65" t="n">
        <f aca="false">C21/1</f>
        <v>32.289222500631</v>
      </c>
      <c r="D69" s="65" t="n">
        <f aca="false">C21/2</f>
        <v>16.1446112503155</v>
      </c>
      <c r="E69" s="65" t="n">
        <f aca="false">C21/3</f>
        <v>10.763074166877</v>
      </c>
      <c r="F69" s="65" t="n">
        <f aca="false">C21/4</f>
        <v>8.07230562515775</v>
      </c>
      <c r="G69" s="65" t="n">
        <f aca="false">C21/6</f>
        <v>5.3815370834385</v>
      </c>
      <c r="H69" s="65" t="n">
        <f aca="false">C21/8</f>
        <v>4.03615281257888</v>
      </c>
      <c r="I69" s="66" t="s">
        <v>333</v>
      </c>
      <c r="J69" s="33"/>
    </row>
    <row r="70" customFormat="false" ht="15" hidden="false" customHeight="false" outlineLevel="0" collapsed="false">
      <c r="A70" s="33"/>
      <c r="B70" s="8" t="s">
        <v>334</v>
      </c>
      <c r="C70" s="65" t="n">
        <f aca="false">C22*1</f>
        <v>77.9311809050057</v>
      </c>
      <c r="D70" s="65" t="n">
        <f aca="false">C22*2</f>
        <v>155.862361810011</v>
      </c>
      <c r="E70" s="65" t="n">
        <f aca="false">C22*3</f>
        <v>233.793542715017</v>
      </c>
      <c r="F70" s="65" t="n">
        <f aca="false">C22*4</f>
        <v>311.724723620023</v>
      </c>
      <c r="G70" s="65" t="n">
        <f aca="false">C22*6</f>
        <v>467.587085430034</v>
      </c>
      <c r="H70" s="65" t="n">
        <f aca="false">C22*8</f>
        <v>623.449447240046</v>
      </c>
      <c r="I70" s="66" t="s">
        <v>335</v>
      </c>
      <c r="J70" s="33"/>
    </row>
    <row r="71" customFormat="false" ht="15" hidden="false" customHeight="false" outlineLevel="0" collapsed="false">
      <c r="A71" s="33"/>
      <c r="B71" s="8" t="s">
        <v>336</v>
      </c>
      <c r="C71" s="65" t="n">
        <f aca="false">C26*C27*1</f>
        <v>4.8</v>
      </c>
      <c r="D71" s="65" t="n">
        <f aca="false">C26*C27*2</f>
        <v>9.6</v>
      </c>
      <c r="E71" s="65" t="n">
        <f aca="false">C26*C27*3</f>
        <v>14.4</v>
      </c>
      <c r="F71" s="65" t="n">
        <f aca="false">C26*C27*4</f>
        <v>19.2</v>
      </c>
      <c r="G71" s="65" t="n">
        <f aca="false">C26*C27*6</f>
        <v>28.8</v>
      </c>
      <c r="H71" s="65" t="n">
        <f aca="false">C26*C27*8</f>
        <v>38.4</v>
      </c>
      <c r="I71" s="66" t="s">
        <v>337</v>
      </c>
      <c r="J71" s="33"/>
    </row>
    <row r="72" customFormat="false" ht="15" hidden="false" customHeight="false" outlineLevel="0" collapsed="false">
      <c r="A72" s="33"/>
      <c r="B72" s="8" t="s">
        <v>338</v>
      </c>
      <c r="C72" s="65" t="n">
        <f aca="false">MAX(0, C22*1 - C26*C27*1)</f>
        <v>73.1311809050057</v>
      </c>
      <c r="D72" s="65" t="n">
        <f aca="false">MAX(0, C22*2 - C26*C27*2)</f>
        <v>146.262361810011</v>
      </c>
      <c r="E72" s="65" t="n">
        <f aca="false">MAX(0, C22*3 - C26*C27*3)</f>
        <v>219.393542715017</v>
      </c>
      <c r="F72" s="65" t="n">
        <f aca="false">MAX(0, C22*4 - C26*C27*4)</f>
        <v>292.524723620023</v>
      </c>
      <c r="G72" s="65" t="n">
        <f aca="false">MAX(0, C22*6 - C26*C27*6)</f>
        <v>438.787085430034</v>
      </c>
      <c r="H72" s="65" t="n">
        <f aca="false">MAX(0, C22*8 - C26*C27*8)</f>
        <v>585.049447240046</v>
      </c>
      <c r="I72" s="66" t="s">
        <v>339</v>
      </c>
      <c r="J72" s="33"/>
    </row>
    <row r="73" customFormat="false" ht="15" hidden="false" customHeight="false" outlineLevel="0" collapsed="false">
      <c r="A73" s="33"/>
      <c r="B73" s="8" t="s">
        <v>340</v>
      </c>
      <c r="C73" s="65" t="n">
        <f aca="false">C23/1</f>
        <v>1.83535334627481</v>
      </c>
      <c r="D73" s="65" t="n">
        <f aca="false">C23/2</f>
        <v>0.917676673137406</v>
      </c>
      <c r="E73" s="65" t="n">
        <f aca="false">C23/3</f>
        <v>0.611784448758271</v>
      </c>
      <c r="F73" s="65" t="n">
        <f aca="false">C23/4</f>
        <v>0.458838336568703</v>
      </c>
      <c r="G73" s="65" t="n">
        <f aca="false">C23/6</f>
        <v>0.305892224379135</v>
      </c>
      <c r="H73" s="65" t="n">
        <f aca="false">C23/8</f>
        <v>0.229419168284352</v>
      </c>
      <c r="I73" s="66" t="s">
        <v>341</v>
      </c>
      <c r="J73" s="33"/>
    </row>
    <row r="74" customFormat="false" ht="15" hidden="false" customHeight="false" outlineLevel="0" collapsed="false">
      <c r="A74" s="33"/>
      <c r="B74" s="8" t="s">
        <v>342</v>
      </c>
      <c r="C74" s="65" t="n">
        <f aca="false">C24*1</f>
        <v>93.3213357582762</v>
      </c>
      <c r="D74" s="65" t="n">
        <f aca="false">C24*2</f>
        <v>186.642671516552</v>
      </c>
      <c r="E74" s="65" t="n">
        <f aca="false">C24*3</f>
        <v>279.964007274828</v>
      </c>
      <c r="F74" s="65" t="n">
        <f aca="false">C24*4</f>
        <v>373.285343033105</v>
      </c>
      <c r="G74" s="65" t="n">
        <f aca="false">C24*6</f>
        <v>559.928014549657</v>
      </c>
      <c r="H74" s="65" t="n">
        <f aca="false">C24*8</f>
        <v>746.570686066209</v>
      </c>
      <c r="I74" s="66" t="s">
        <v>343</v>
      </c>
      <c r="J74" s="33"/>
    </row>
    <row r="75" customFormat="false" ht="27.6" hidden="false" customHeight="false" outlineLevel="0" collapsed="false">
      <c r="A75" s="33"/>
      <c r="B75" s="8" t="s">
        <v>344</v>
      </c>
      <c r="C75" s="65" t="n">
        <f aca="false">C25/1</f>
        <v>18.3535334627481</v>
      </c>
      <c r="D75" s="65" t="n">
        <f aca="false">C25/2</f>
        <v>9.17676673137406</v>
      </c>
      <c r="E75" s="65" t="n">
        <f aca="false">C25/3</f>
        <v>6.11784448758271</v>
      </c>
      <c r="F75" s="65" t="n">
        <f aca="false">C25/4</f>
        <v>4.58838336568703</v>
      </c>
      <c r="G75" s="65" t="n">
        <f aca="false">C25/6</f>
        <v>3.05892224379135</v>
      </c>
      <c r="H75" s="65" t="n">
        <f aca="false">C25/8</f>
        <v>2.29419168284351</v>
      </c>
      <c r="I75" s="66" t="s">
        <v>345</v>
      </c>
      <c r="J75" s="33"/>
    </row>
    <row r="76" customFormat="false" ht="15" hidden="false" customHeight="false" outlineLevel="0" collapsed="false">
      <c r="A76" s="33"/>
      <c r="B76" s="8"/>
      <c r="C76" s="65"/>
      <c r="D76" s="65"/>
      <c r="E76" s="65"/>
      <c r="F76" s="65"/>
      <c r="G76" s="65"/>
      <c r="H76" s="65"/>
      <c r="I76" s="66"/>
      <c r="J76" s="33"/>
    </row>
    <row r="77" customFormat="false" ht="15" hidden="false" customHeight="false" outlineLevel="0" collapsed="false">
      <c r="A77" s="33"/>
      <c r="B77" s="8"/>
      <c r="C77" s="65"/>
      <c r="D77" s="65"/>
      <c r="E77" s="65"/>
      <c r="F77" s="65"/>
      <c r="G77" s="65"/>
      <c r="H77" s="65"/>
      <c r="I77" s="66"/>
      <c r="J77" s="33"/>
    </row>
    <row r="78" customFormat="false" ht="15" hidden="false" customHeight="false" outlineLevel="0" collapsed="false">
      <c r="A78" s="33"/>
      <c r="B78" s="47" t="s">
        <v>346</v>
      </c>
      <c r="C78" s="54"/>
      <c r="D78" s="54"/>
      <c r="E78" s="54"/>
      <c r="F78" s="54"/>
      <c r="G78" s="54"/>
      <c r="H78" s="54"/>
      <c r="I78" s="54"/>
      <c r="J78" s="33"/>
    </row>
    <row r="79" customFormat="false" ht="15" hidden="false" customHeight="false" outlineLevel="0" collapsed="false">
      <c r="A79" s="33"/>
      <c r="B79" s="68" t="s">
        <v>347</v>
      </c>
      <c r="C79" s="69" t="n">
        <f aca="false">C30</f>
        <v>17.81</v>
      </c>
      <c r="D79" s="69" t="n">
        <f aca="false">C30</f>
        <v>17.81</v>
      </c>
      <c r="E79" s="69" t="n">
        <f aca="false">C30</f>
        <v>17.81</v>
      </c>
      <c r="F79" s="69" t="n">
        <f aca="false">C30</f>
        <v>17.81</v>
      </c>
      <c r="G79" s="69" t="n">
        <f aca="false">C30</f>
        <v>17.81</v>
      </c>
      <c r="H79" s="69" t="n">
        <f aca="false">C30</f>
        <v>17.81</v>
      </c>
      <c r="I79" s="55" t="s">
        <v>348</v>
      </c>
      <c r="J79" s="33"/>
    </row>
    <row r="80" customFormat="false" ht="15" hidden="false" customHeight="false" outlineLevel="0" collapsed="false">
      <c r="A80" s="33"/>
      <c r="B80" s="8" t="s">
        <v>349</v>
      </c>
      <c r="C80" s="65" t="n">
        <f aca="false">C31</f>
        <v>53.43</v>
      </c>
      <c r="D80" s="65" t="n">
        <f aca="false">C31</f>
        <v>53.43</v>
      </c>
      <c r="E80" s="65" t="n">
        <f aca="false">C31</f>
        <v>53.43</v>
      </c>
      <c r="F80" s="65" t="n">
        <f aca="false">C31</f>
        <v>53.43</v>
      </c>
      <c r="G80" s="65" t="n">
        <f aca="false">C31</f>
        <v>53.43</v>
      </c>
      <c r="H80" s="65" t="n">
        <f aca="false">C31</f>
        <v>53.43</v>
      </c>
      <c r="I80" s="66" t="s">
        <v>350</v>
      </c>
      <c r="J80" s="33"/>
    </row>
    <row r="81" customFormat="false" ht="15" hidden="false" customHeight="false" outlineLevel="0" collapsed="false">
      <c r="A81" s="33"/>
      <c r="B81" s="8"/>
      <c r="C81" s="65"/>
      <c r="D81" s="65"/>
      <c r="E81" s="65"/>
      <c r="F81" s="65"/>
      <c r="G81" s="65"/>
      <c r="H81" s="65"/>
      <c r="I81" s="66"/>
      <c r="J81" s="33"/>
    </row>
    <row r="82" customFormat="false" ht="15" hidden="false" customHeight="false" outlineLevel="0" collapsed="false">
      <c r="A82" s="33"/>
      <c r="B82" s="47" t="s">
        <v>351</v>
      </c>
      <c r="C82" s="67"/>
      <c r="D82" s="67"/>
      <c r="E82" s="67"/>
      <c r="F82" s="67"/>
      <c r="G82" s="67"/>
      <c r="H82" s="67"/>
      <c r="I82" s="54"/>
      <c r="J82" s="33"/>
    </row>
    <row r="83" customFormat="false" ht="15" hidden="false" customHeight="false" outlineLevel="0" collapsed="false">
      <c r="A83" s="33"/>
      <c r="B83" s="8" t="s">
        <v>352</v>
      </c>
      <c r="C83" s="65" t="n">
        <f aca="false">C28*1</f>
        <v>60</v>
      </c>
      <c r="D83" s="65" t="n">
        <f aca="false">C28*2</f>
        <v>120</v>
      </c>
      <c r="E83" s="65" t="n">
        <f aca="false">C28*3</f>
        <v>180</v>
      </c>
      <c r="F83" s="65" t="n">
        <f aca="false">C28*4</f>
        <v>240</v>
      </c>
      <c r="G83" s="65" t="n">
        <f aca="false">C28*6</f>
        <v>360</v>
      </c>
      <c r="H83" s="65" t="n">
        <f aca="false">C28*8</f>
        <v>480</v>
      </c>
      <c r="I83" s="66" t="s">
        <v>353</v>
      </c>
      <c r="J83" s="33"/>
    </row>
    <row r="84" customFormat="false" ht="15" hidden="false" customHeight="false" outlineLevel="0" collapsed="false">
      <c r="A84" s="33"/>
      <c r="B84" s="8" t="s">
        <v>354</v>
      </c>
      <c r="C84" s="65" t="n">
        <f aca="false">10*C28*1*0.000000000001*1000000000</f>
        <v>0.6</v>
      </c>
      <c r="D84" s="65" t="n">
        <f aca="false">10*C28*2*0.000000000001*1000000000</f>
        <v>1.2</v>
      </c>
      <c r="E84" s="65" t="n">
        <f aca="false">10*C28*3*0.000000000001*1000000000</f>
        <v>1.8</v>
      </c>
      <c r="F84" s="65" t="n">
        <f aca="false">10*C28*4*0.000000000001*1000000000</f>
        <v>2.4</v>
      </c>
      <c r="G84" s="65" t="n">
        <f aca="false">10*C28*6*0.000000000001*1000000000</f>
        <v>3.6</v>
      </c>
      <c r="H84" s="65" t="n">
        <f aca="false">10*C28*8*0.000000000001*1000000000</f>
        <v>4.8</v>
      </c>
      <c r="I84" s="66" t="s">
        <v>355</v>
      </c>
      <c r="J84" s="33"/>
    </row>
    <row r="85" customFormat="false" ht="15" hidden="false" customHeight="false" outlineLevel="0" collapsed="false">
      <c r="A85" s="33"/>
      <c r="B85" s="8" t="s">
        <v>356</v>
      </c>
      <c r="C85" s="65" t="n">
        <f aca="false">10*C28*1*0.000000000001*C18*1000000*100</f>
        <v>0.84</v>
      </c>
      <c r="D85" s="65" t="n">
        <f aca="false">10*C28*2*0.000000000001*C18*1000000*100</f>
        <v>1.68</v>
      </c>
      <c r="E85" s="65" t="n">
        <f aca="false">10*C28*3*0.000000000001*C18*1000000*100</f>
        <v>2.52</v>
      </c>
      <c r="F85" s="65" t="n">
        <f aca="false">10*C28*4*0.000000000001*C18*1000000*100</f>
        <v>3.36</v>
      </c>
      <c r="G85" s="65" t="n">
        <f aca="false">10*C28*6*0.000000000001*C18*1000000*100</f>
        <v>5.04</v>
      </c>
      <c r="H85" s="65" t="n">
        <f aca="false">10*C28*8*0.000000000001*C18*1000000*100</f>
        <v>6.72</v>
      </c>
      <c r="I85" s="66" t="s">
        <v>357</v>
      </c>
      <c r="J85" s="33"/>
    </row>
    <row r="86" customFormat="false" ht="15" hidden="false" customHeight="false" outlineLevel="0" collapsed="false">
      <c r="A86" s="33"/>
      <c r="B86" s="8" t="s">
        <v>358</v>
      </c>
      <c r="C86" s="65" t="n">
        <f aca="false">0.05/(C28*1*0.000000000001*C18*1000000)</f>
        <v>59.5238095238095</v>
      </c>
      <c r="D86" s="65" t="n">
        <f aca="false">0.05/(C28*2*0.000000000001*C18*1000000)</f>
        <v>29.7619047619048</v>
      </c>
      <c r="E86" s="65" t="n">
        <f aca="false">0.05/(C28*3*0.000000000001*C18*1000000)</f>
        <v>19.8412698412698</v>
      </c>
      <c r="F86" s="65" t="n">
        <f aca="false">0.05/(C28*4*0.000000000001*C18*1000000)</f>
        <v>14.8809523809524</v>
      </c>
      <c r="G86" s="65" t="n">
        <f aca="false">0.05/(C28*6*0.000000000001*C18*1000000)</f>
        <v>9.92063492063492</v>
      </c>
      <c r="H86" s="65" t="n">
        <f aca="false">0.05/(C28*8*0.000000000001*C18*1000000)</f>
        <v>7.44047619047619</v>
      </c>
      <c r="I86" s="66" t="s">
        <v>359</v>
      </c>
      <c r="J86" s="33"/>
    </row>
    <row r="87" customFormat="false" ht="15" hidden="false" customHeight="false" outlineLevel="0" collapsed="false">
      <c r="A87" s="33"/>
      <c r="B87" s="8" t="s">
        <v>360</v>
      </c>
      <c r="C87" s="65" t="n">
        <f aca="false">MAX(3, MIN(10, 0.02/(C28*0.000000000001*C18*1000000)))</f>
        <v>10</v>
      </c>
      <c r="D87" s="65" t="n">
        <f aca="false">MAX(3, MIN(10, 0.02/(C28*0.000000000001*C18*1000000)))</f>
        <v>10</v>
      </c>
      <c r="E87" s="65" t="n">
        <f aca="false">MAX(3, MIN(10, 0.02/(C28*0.000000000001*C18*1000000)))</f>
        <v>10</v>
      </c>
      <c r="F87" s="65" t="n">
        <f aca="false">MAX(3, MIN(10, 0.02/(C28*0.000000000001*C18*1000000)))</f>
        <v>10</v>
      </c>
      <c r="G87" s="65" t="n">
        <f aca="false">MAX(3, MIN(10, 0.02/(C28*0.000000000001*C18*1000000)))</f>
        <v>10</v>
      </c>
      <c r="H87" s="65" t="n">
        <f aca="false">MAX(3, MIN(10, 0.02/(C28*0.000000000001*C18*1000000)))</f>
        <v>10</v>
      </c>
      <c r="I87" s="66" t="s">
        <v>361</v>
      </c>
      <c r="J87" s="33"/>
    </row>
    <row r="88" customFormat="false" ht="27.6" hidden="false" customHeight="false" outlineLevel="0" collapsed="false">
      <c r="A88" s="33"/>
      <c r="B88" s="8" t="s">
        <v>362</v>
      </c>
      <c r="C88" s="65" t="n">
        <f aca="false">(1/(C32^2*C28*1*0.000000000001)+SQRT(MAX(MAX(50,'Class-E Calculator'!C28)/MIN(50,'Class-E Calculator'!C28)-1,0))*MIN(50,'Class-E Calculator'!C28)/C32)*1000000</f>
        <v>2.38130093150751</v>
      </c>
      <c r="D88" s="65" t="n">
        <f aca="false">(1/(C32^2*C28*2*0.000000000001)+SQRT(MAX(MAX(50,'Class-E Calculator'!C28)/MIN(50,'Class-E Calculator'!C28)-1,0))*MIN(50,'Class-E Calculator'!C28)/C32)*1000000</f>
        <v>1.30433256796225</v>
      </c>
      <c r="E88" s="65" t="n">
        <f aca="false">(1/(C32^2*C28*3*0.000000000001)+SQRT(MAX(MAX(50,'Class-E Calculator'!C28)/MIN(50,'Class-E Calculator'!C28)-1,0))*MIN(50,'Class-E Calculator'!C28)/C32)*1000000</f>
        <v>0.945343113447165</v>
      </c>
      <c r="F88" s="65" t="n">
        <f aca="false">(1/(C32^2*C28*4*0.000000000001)+SQRT(MAX(MAX(50,'Class-E Calculator'!C28)/MIN(50,'Class-E Calculator'!C28)-1,0))*MIN(50,'Class-E Calculator'!C28)/C32)*1000000</f>
        <v>0.765848386189622</v>
      </c>
      <c r="G88" s="65" t="n">
        <f aca="false">(1/(C32^2*C28*6*0.000000000001)+SQRT(MAX(MAX(50,'Class-E Calculator'!C28)/MIN(50,'Class-E Calculator'!C28)-1,0))*MIN(50,'Class-E Calculator'!C28)/C32)*1000000</f>
        <v>0.586353658932079</v>
      </c>
      <c r="H88" s="65" t="n">
        <f aca="false">(1/(C32^2*C28*8*0.000000000001)+SQRT(MAX(MAX(50,'Class-E Calculator'!C28)/MIN(50,'Class-E Calculator'!C28)-1,0))*MIN(50,'Class-E Calculator'!C28)/C32)*1000000</f>
        <v>0.496606295303308</v>
      </c>
      <c r="I88" s="66" t="s">
        <v>363</v>
      </c>
      <c r="J88" s="33"/>
    </row>
    <row r="89" customFormat="false" ht="27.6" hidden="false" customHeight="false" outlineLevel="0" collapsed="false">
      <c r="A89" s="33"/>
      <c r="B89" s="8" t="s">
        <v>364</v>
      </c>
      <c r="C89" s="64" t="str">
        <f aca="false">IF(10*C28*1*0.000000000001*C18*1000000*100&lt;5,"✅ OK","⚠ Check driver")</f>
        <v>✅ OK</v>
      </c>
      <c r="D89" s="64" t="str">
        <f aca="false">IF(10*C28*2*0.000000000001*C18*1000000*100&lt;5,"✅ OK","⚠ Check driver")</f>
        <v>✅ OK</v>
      </c>
      <c r="E89" s="64" t="str">
        <f aca="false">IF(10*C28*3*0.000000000001*C18*1000000*100&lt;5,"✅ OK","⚠ Check driver")</f>
        <v>✅ OK</v>
      </c>
      <c r="F89" s="64" t="str">
        <f aca="false">IF(10*C28*4*0.000000000001*C18*1000000*100&lt;5,"✅ OK","⚠ Check driver")</f>
        <v>✅ OK</v>
      </c>
      <c r="G89" s="64" t="str">
        <f aca="false">IF(10*C28*6*0.000000000001*C18*1000000*100&lt;5,"✅ OK","⚠ Check driver")</f>
        <v>⚠ Check driver</v>
      </c>
      <c r="H89" s="64" t="str">
        <f aca="false">IF(10*C28*8*0.000000000001*C18*1000000*100&lt;5,"✅ OK","⚠ Check driver")</f>
        <v>⚠ Check driver</v>
      </c>
      <c r="I89" s="66" t="s">
        <v>365</v>
      </c>
      <c r="J89" s="33"/>
    </row>
    <row r="90" customFormat="false" ht="15" hidden="false" customHeight="false" outlineLevel="0" collapsed="false">
      <c r="A90" s="33"/>
      <c r="B90" s="8"/>
      <c r="C90" s="64"/>
      <c r="D90" s="64"/>
      <c r="E90" s="64"/>
      <c r="F90" s="64"/>
      <c r="G90" s="64"/>
      <c r="H90" s="64"/>
      <c r="I90" s="66"/>
      <c r="J90" s="33"/>
    </row>
    <row r="91" customFormat="false" ht="15" hidden="false" customHeight="false" outlineLevel="0" collapsed="false">
      <c r="A91" s="33"/>
      <c r="B91" s="47" t="s">
        <v>366</v>
      </c>
      <c r="C91" s="54"/>
      <c r="D91" s="54"/>
      <c r="E91" s="54"/>
      <c r="F91" s="54"/>
      <c r="G91" s="54"/>
      <c r="H91" s="54"/>
      <c r="I91" s="54"/>
      <c r="J91" s="33"/>
    </row>
    <row r="92" customFormat="false" ht="27.6" hidden="false" customHeight="false" outlineLevel="0" collapsed="false">
      <c r="A92" s="33"/>
      <c r="B92" s="8" t="s">
        <v>367</v>
      </c>
      <c r="C92" s="64" t="str">
        <f aca="false">IF(C29*1&lt;2,"✅ Standard RFC core adequate",IF(C29*1&lt;8,"⚠ Verify core I_sat rating","🚨 Larger RFC core required — check datasheet"))</f>
        <v>✅ Standard RFC core adequate</v>
      </c>
      <c r="D92" s="64" t="str">
        <f aca="false">IF(C29*2&lt;2,"✅ Standard RFC core adequate",IF(C29*2&lt;8,"⚠ Verify core I_sat rating","🚨 Larger RFC core required — check datasheet"))</f>
        <v>✅ Standard RFC core adequate</v>
      </c>
      <c r="E92" s="64" t="str">
        <f aca="false">IF(C29*3&lt;2,"✅ Standard RFC core adequate",IF(C29*3&lt;8,"⚠ Verify core I_sat rating","🚨 Larger RFC core required — check datasheet"))</f>
        <v>✅ Standard RFC core adequate</v>
      </c>
      <c r="F92" s="64" t="str">
        <f aca="false">IF(C29*4&lt;2,"✅ Standard RFC core adequate",IF(C29*4&lt;8,"⚠ Verify core I_sat rating","🚨 Larger RFC core required — check datasheet"))</f>
        <v>✅ Standard RFC core adequate</v>
      </c>
      <c r="G92" s="64" t="str">
        <f aca="false">IF(C29*6&lt;2,"✅ Standard RFC core adequate",IF(C29*6&lt;8,"⚠ Verify core I_sat rating","🚨 Larger RFC core required — check datasheet"))</f>
        <v>✅ Standard RFC core adequate</v>
      </c>
      <c r="H92" s="64" t="str">
        <f aca="false">IF(C29*8&lt;2,"✅ Standard RFC core adequate",IF(C29*8&lt;8,"⚠ Verify core I_sat rating","🚨 Larger RFC core required — check datasheet"))</f>
        <v>✅ Standard RFC core adequate</v>
      </c>
      <c r="I92" s="66" t="s">
        <v>368</v>
      </c>
      <c r="J92" s="33"/>
    </row>
    <row r="93" customFormat="false" ht="66.75" hidden="false" customHeight="false" outlineLevel="0" collapsed="false">
      <c r="A93" s="33"/>
      <c r="B93" s="8" t="s">
        <v>369</v>
      </c>
      <c r="C93" s="64" t="str">
        <f aca="false">IF(1=1,"✅ Single MOSFET — standard design",IF(1=2,"✅ Straightforward — split gate R, matched traces",IF(1&lt;=4,"⚠ Careful layout required — equal gate traces, dedicated driver","🚨 Advanced — gate driver IC + symmetrical PCB + LTspice verification mandatory")))</f>
        <v>✅ Single MOSFET — standard design</v>
      </c>
      <c r="D93" s="64" t="str">
        <f aca="false">IF(2=1,"✅ Single MOSFET — standard design",IF(2=2,"✅ Straightforward — split gate R, matched traces",IF(2&lt;=4,"⚠ Careful layout required — equal gate traces, dedicated driver","🚨 Advanced — gate driver IC + symmetrical PCB + LTspice verification mandatory")))</f>
        <v>✅ Straightforward — split gate R, matched traces</v>
      </c>
      <c r="E93" s="64" t="str">
        <f aca="false">IF(3=1,"✅ Single MOSFET — standard design",IF(3=2,"✅ Straightforward — split gate R, matched traces",IF(3&lt;=4,"⚠ Careful layout required — equal gate traces, dedicated driver","🚨 Advanced — gate driver IC + symmetrical PCB + LTspice verification mandatory")))</f>
        <v>⚠ Careful layout required — equal gate traces, dedicated driver</v>
      </c>
      <c r="F93" s="64" t="str">
        <f aca="false">IF(4=1,"✅ Single MOSFET — standard design",IF(4=2,"✅ Straightforward — split gate R, matched traces",IF(4&lt;=4,"⚠ Careful layout required — equal gate traces, dedicated driver","🚨 Advanced — gate driver IC + symmetrical PCB + LTspice verification mandatory")))</f>
        <v>⚠ Careful layout required — equal gate traces, dedicated driver</v>
      </c>
      <c r="G93" s="64" t="str">
        <f aca="false">IF(6=1,"✅ Single MOSFET — standard design",IF(6=2,"✅ Straightforward — split gate R, matched traces",IF(6&lt;=4,"⚠ Careful layout required — equal gate traces, dedicated driver","🚨 Advanced — gate driver IC + symmetrical PCB + LTspice verification mandatory")))</f>
        <v>🚨 Advanced — gate driver IC + symmetrical PCB + LTspice verification mandatory</v>
      </c>
      <c r="H93" s="64" t="str">
        <f aca="false">IF(8=1,"✅ Single MOSFET — standard design",IF(8=2,"✅ Straightforward — split gate R, matched traces",IF(8&lt;=4,"⚠ Careful layout required — equal gate traces, dedicated driver","🚨 Advanced — gate driver IC + symmetrical PCB + LTspice verification mandatory")))</f>
        <v>🚨 Advanced — gate driver IC + symmetrical PCB + LTspice verification mandatory</v>
      </c>
      <c r="I93" s="66" t="s">
        <v>370</v>
      </c>
      <c r="J93" s="33"/>
    </row>
    <row r="94" customFormat="false" ht="15" hidden="false" customHeight="false" outlineLevel="0" collapsed="false">
      <c r="A94" s="33"/>
      <c r="B94" s="52"/>
      <c r="C94" s="33"/>
      <c r="D94" s="33"/>
      <c r="E94" s="33"/>
      <c r="F94" s="33"/>
      <c r="G94" s="33"/>
      <c r="H94" s="33"/>
      <c r="I94" s="33"/>
      <c r="J94" s="33"/>
    </row>
    <row r="95" customFormat="false" ht="15.65" hidden="false" customHeight="false" outlineLevel="0" collapsed="false">
      <c r="A95" s="33"/>
      <c r="B95" s="36" t="s">
        <v>371</v>
      </c>
      <c r="C95" s="33"/>
      <c r="D95" s="33"/>
      <c r="E95" s="33"/>
      <c r="F95" s="33"/>
      <c r="G95" s="33"/>
      <c r="H95" s="33"/>
      <c r="I95" s="33"/>
      <c r="J95" s="33"/>
    </row>
    <row r="96" customFormat="false" ht="15" hidden="false" customHeight="true" outlineLevel="0" collapsed="false">
      <c r="A96" s="33"/>
      <c r="B96" s="29" t="s">
        <v>372</v>
      </c>
      <c r="C96" s="56" t="s">
        <v>373</v>
      </c>
      <c r="D96" s="56"/>
      <c r="E96" s="56"/>
      <c r="F96" s="57" t="s">
        <v>374</v>
      </c>
      <c r="G96" s="59"/>
      <c r="H96" s="59"/>
      <c r="I96" s="59"/>
      <c r="J96" s="33"/>
    </row>
    <row r="97" customFormat="false" ht="27.6" hidden="false" customHeight="true" outlineLevel="0" collapsed="false">
      <c r="A97" s="33"/>
      <c r="B97" s="8" t="s">
        <v>375</v>
      </c>
      <c r="C97" s="68" t="s">
        <v>376</v>
      </c>
      <c r="D97" s="68"/>
      <c r="E97" s="68"/>
      <c r="F97" s="55" t="s">
        <v>377</v>
      </c>
      <c r="G97" s="55"/>
      <c r="H97" s="55"/>
      <c r="I97" s="55"/>
      <c r="J97" s="33"/>
    </row>
    <row r="98" customFormat="false" ht="27.6" hidden="false" customHeight="true" outlineLevel="0" collapsed="false">
      <c r="A98" s="33"/>
      <c r="B98" s="8" t="s">
        <v>378</v>
      </c>
      <c r="C98" s="68" t="s">
        <v>379</v>
      </c>
      <c r="D98" s="68"/>
      <c r="E98" s="68"/>
      <c r="F98" s="55" t="s">
        <v>380</v>
      </c>
      <c r="G98" s="55"/>
      <c r="H98" s="55"/>
      <c r="I98" s="55"/>
      <c r="J98" s="33"/>
    </row>
    <row r="99" customFormat="false" ht="27.6" hidden="false" customHeight="true" outlineLevel="0" collapsed="false">
      <c r="A99" s="33"/>
      <c r="B99" s="8" t="s">
        <v>381</v>
      </c>
      <c r="C99" s="68" t="s">
        <v>382</v>
      </c>
      <c r="D99" s="68"/>
      <c r="E99" s="68"/>
      <c r="F99" s="55" t="s">
        <v>383</v>
      </c>
      <c r="G99" s="55"/>
      <c r="H99" s="55"/>
      <c r="I99" s="55"/>
      <c r="J99" s="33"/>
    </row>
    <row r="100" customFormat="false" ht="27.6" hidden="false" customHeight="true" outlineLevel="0" collapsed="false">
      <c r="A100" s="33"/>
      <c r="B100" s="8" t="s">
        <v>384</v>
      </c>
      <c r="C100" s="68" t="s">
        <v>385</v>
      </c>
      <c r="D100" s="68"/>
      <c r="E100" s="68"/>
      <c r="F100" s="55" t="s">
        <v>386</v>
      </c>
      <c r="G100" s="55"/>
      <c r="H100" s="55"/>
      <c r="I100" s="55"/>
      <c r="J100" s="33"/>
    </row>
    <row r="101" customFormat="false" ht="40.5" hidden="false" customHeight="true" outlineLevel="0" collapsed="false">
      <c r="A101" s="33"/>
      <c r="B101" s="8" t="s">
        <v>387</v>
      </c>
      <c r="C101" s="68" t="s">
        <v>388</v>
      </c>
      <c r="D101" s="68"/>
      <c r="E101" s="68"/>
      <c r="F101" s="55" t="s">
        <v>389</v>
      </c>
      <c r="G101" s="55"/>
      <c r="H101" s="55"/>
      <c r="I101" s="55"/>
      <c r="J101" s="33"/>
    </row>
    <row r="102" customFormat="false" ht="53.7" hidden="false" customHeight="true" outlineLevel="0" collapsed="false">
      <c r="A102" s="33"/>
      <c r="B102" s="8" t="s">
        <v>390</v>
      </c>
      <c r="C102" s="68" t="s">
        <v>391</v>
      </c>
      <c r="D102" s="68"/>
      <c r="E102" s="68"/>
      <c r="F102" s="55" t="s">
        <v>392</v>
      </c>
      <c r="G102" s="55"/>
      <c r="H102" s="55"/>
      <c r="I102" s="55"/>
      <c r="J102" s="33"/>
    </row>
    <row r="103" customFormat="false" ht="40.5" hidden="false" customHeight="true" outlineLevel="0" collapsed="false">
      <c r="A103" s="33"/>
      <c r="B103" s="8" t="s">
        <v>393</v>
      </c>
      <c r="C103" s="68" t="s">
        <v>394</v>
      </c>
      <c r="D103" s="68"/>
      <c r="E103" s="68"/>
      <c r="F103" s="55" t="s">
        <v>395</v>
      </c>
      <c r="G103" s="55"/>
      <c r="H103" s="55"/>
      <c r="I103" s="55"/>
      <c r="J103" s="33"/>
    </row>
    <row r="104" customFormat="false" ht="40.5" hidden="false" customHeight="true" outlineLevel="0" collapsed="false">
      <c r="A104" s="33"/>
      <c r="B104" s="8" t="s">
        <v>396</v>
      </c>
      <c r="C104" s="68" t="s">
        <v>397</v>
      </c>
      <c r="D104" s="68"/>
      <c r="E104" s="68"/>
      <c r="F104" s="55" t="s">
        <v>398</v>
      </c>
      <c r="G104" s="55"/>
      <c r="H104" s="55"/>
      <c r="I104" s="55"/>
      <c r="J104" s="33"/>
    </row>
    <row r="105" customFormat="false" ht="15" hidden="false" customHeight="false" outlineLevel="0" collapsed="false">
      <c r="A105" s="33"/>
      <c r="B105" s="52"/>
      <c r="C105" s="33"/>
      <c r="D105" s="33"/>
      <c r="E105" s="33"/>
      <c r="F105" s="33"/>
      <c r="G105" s="33"/>
      <c r="H105" s="33"/>
      <c r="I105" s="33"/>
      <c r="J105" s="33"/>
    </row>
    <row r="106" customFormat="false" ht="15.65" hidden="false" customHeight="false" outlineLevel="0" collapsed="false">
      <c r="A106" s="33"/>
      <c r="B106" s="36" t="s">
        <v>399</v>
      </c>
      <c r="C106" s="33"/>
      <c r="D106" s="33"/>
      <c r="E106" s="33"/>
      <c r="F106" s="33"/>
      <c r="G106" s="33"/>
      <c r="H106" s="33"/>
      <c r="I106" s="33"/>
      <c r="J106" s="33"/>
    </row>
    <row r="107" customFormat="false" ht="15" hidden="false" customHeight="false" outlineLevel="0" collapsed="false">
      <c r="A107" s="33"/>
      <c r="B107" s="29" t="s">
        <v>8</v>
      </c>
      <c r="C107" s="57" t="s">
        <v>400</v>
      </c>
      <c r="D107" s="59"/>
      <c r="E107" s="59"/>
      <c r="F107" s="57" t="s">
        <v>48</v>
      </c>
      <c r="G107" s="59"/>
      <c r="H107" s="59"/>
      <c r="I107" s="59"/>
      <c r="J107" s="33"/>
    </row>
    <row r="108" customFormat="false" ht="40.5" hidden="false" customHeight="true" outlineLevel="0" collapsed="false">
      <c r="A108" s="33"/>
      <c r="B108" s="8" t="s">
        <v>401</v>
      </c>
      <c r="C108" s="68" t="s">
        <v>402</v>
      </c>
      <c r="D108" s="68"/>
      <c r="E108" s="68"/>
      <c r="F108" s="55" t="s">
        <v>403</v>
      </c>
      <c r="G108" s="55"/>
      <c r="H108" s="55"/>
      <c r="I108" s="55"/>
      <c r="J108" s="33"/>
    </row>
    <row r="109" customFormat="false" ht="40.5" hidden="false" customHeight="true" outlineLevel="0" collapsed="false">
      <c r="A109" s="33"/>
      <c r="B109" s="8" t="s">
        <v>404</v>
      </c>
      <c r="C109" s="68" t="s">
        <v>405</v>
      </c>
      <c r="D109" s="68"/>
      <c r="E109" s="68"/>
      <c r="F109" s="55" t="s">
        <v>406</v>
      </c>
      <c r="G109" s="55"/>
      <c r="H109" s="55"/>
      <c r="I109" s="55"/>
      <c r="J109" s="33"/>
    </row>
    <row r="110" customFormat="false" ht="27.6" hidden="false" customHeight="true" outlineLevel="0" collapsed="false">
      <c r="A110" s="33"/>
      <c r="B110" s="8" t="s">
        <v>407</v>
      </c>
      <c r="C110" s="68" t="s">
        <v>408</v>
      </c>
      <c r="D110" s="68"/>
      <c r="E110" s="68"/>
      <c r="F110" s="55" t="s">
        <v>409</v>
      </c>
      <c r="G110" s="55"/>
      <c r="H110" s="55"/>
      <c r="I110" s="55"/>
      <c r="J110" s="33"/>
    </row>
    <row r="111" customFormat="false" ht="27.6" hidden="false" customHeight="true" outlineLevel="0" collapsed="false">
      <c r="A111" s="33"/>
      <c r="B111" s="8" t="s">
        <v>410</v>
      </c>
      <c r="C111" s="68" t="s">
        <v>411</v>
      </c>
      <c r="D111" s="68"/>
      <c r="E111" s="68"/>
      <c r="F111" s="55" t="s">
        <v>412</v>
      </c>
      <c r="G111" s="55"/>
      <c r="H111" s="55"/>
      <c r="I111" s="55"/>
      <c r="J111" s="33"/>
    </row>
    <row r="112" customFormat="false" ht="27.6" hidden="false" customHeight="true" outlineLevel="0" collapsed="false">
      <c r="A112" s="33"/>
      <c r="B112" s="8" t="s">
        <v>413</v>
      </c>
      <c r="C112" s="68" t="s">
        <v>414</v>
      </c>
      <c r="D112" s="68"/>
      <c r="E112" s="68"/>
      <c r="F112" s="55" t="s">
        <v>415</v>
      </c>
      <c r="G112" s="55"/>
      <c r="H112" s="55"/>
      <c r="I112" s="55"/>
      <c r="J112" s="33"/>
    </row>
    <row r="113" customFormat="false" ht="40.5" hidden="false" customHeight="true" outlineLevel="0" collapsed="false">
      <c r="A113" s="33"/>
      <c r="B113" s="8" t="s">
        <v>416</v>
      </c>
      <c r="C113" s="68" t="s">
        <v>417</v>
      </c>
      <c r="D113" s="68"/>
      <c r="E113" s="68"/>
      <c r="F113" s="55" t="s">
        <v>418</v>
      </c>
      <c r="G113" s="55"/>
      <c r="H113" s="55"/>
      <c r="I113" s="55"/>
      <c r="J113" s="33"/>
    </row>
    <row r="114" customFormat="false" ht="15" hidden="false" customHeight="false" outlineLevel="0" collapsed="false">
      <c r="A114" s="33"/>
      <c r="B114" s="70"/>
      <c r="C114" s="33"/>
      <c r="D114" s="33"/>
      <c r="E114" s="33"/>
      <c r="F114" s="33"/>
      <c r="G114" s="33"/>
      <c r="H114" s="33"/>
      <c r="I114" s="33"/>
      <c r="J114" s="33"/>
    </row>
  </sheetData>
  <mergeCells count="79">
    <mergeCell ref="F10:I10"/>
    <mergeCell ref="F11:I11"/>
    <mergeCell ref="F12:I12"/>
    <mergeCell ref="F16:I16"/>
    <mergeCell ref="F17:I17"/>
    <mergeCell ref="F18:I18"/>
    <mergeCell ref="F19:I19"/>
    <mergeCell ref="F20:I20"/>
    <mergeCell ref="F21:I21"/>
    <mergeCell ref="F22:I22"/>
    <mergeCell ref="F23:I23"/>
    <mergeCell ref="F24:I24"/>
    <mergeCell ref="F25:I25"/>
    <mergeCell ref="F26:I26"/>
    <mergeCell ref="F27:I27"/>
    <mergeCell ref="F28:I28"/>
    <mergeCell ref="F29:I29"/>
    <mergeCell ref="F30:I30"/>
    <mergeCell ref="F31:I31"/>
    <mergeCell ref="F32:I32"/>
    <mergeCell ref="F36:G36"/>
    <mergeCell ref="H36:I36"/>
    <mergeCell ref="F37:G37"/>
    <mergeCell ref="H37:I37"/>
    <mergeCell ref="F38:G38"/>
    <mergeCell ref="H38:I38"/>
    <mergeCell ref="F39:G39"/>
    <mergeCell ref="H39:I39"/>
    <mergeCell ref="F40:G40"/>
    <mergeCell ref="H40:I40"/>
    <mergeCell ref="F41:G41"/>
    <mergeCell ref="H41:I41"/>
    <mergeCell ref="F42:G42"/>
    <mergeCell ref="H42:I42"/>
    <mergeCell ref="F43:G43"/>
    <mergeCell ref="H43:I43"/>
    <mergeCell ref="F44:G44"/>
    <mergeCell ref="H44:I44"/>
    <mergeCell ref="F45:G45"/>
    <mergeCell ref="H45:I45"/>
    <mergeCell ref="F46:G46"/>
    <mergeCell ref="H46:I46"/>
    <mergeCell ref="F47:G47"/>
    <mergeCell ref="H47:I47"/>
    <mergeCell ref="F48:G48"/>
    <mergeCell ref="H48:I48"/>
    <mergeCell ref="F49:G49"/>
    <mergeCell ref="H49:I49"/>
    <mergeCell ref="F50:G50"/>
    <mergeCell ref="H50:I50"/>
    <mergeCell ref="C96:E96"/>
    <mergeCell ref="C97:E97"/>
    <mergeCell ref="F97:I97"/>
    <mergeCell ref="C98:E98"/>
    <mergeCell ref="F98:I98"/>
    <mergeCell ref="C99:E99"/>
    <mergeCell ref="F99:I99"/>
    <mergeCell ref="C100:E100"/>
    <mergeCell ref="F100:I100"/>
    <mergeCell ref="C101:E101"/>
    <mergeCell ref="F101:I101"/>
    <mergeCell ref="C102:E102"/>
    <mergeCell ref="F102:I102"/>
    <mergeCell ref="C103:E103"/>
    <mergeCell ref="F103:I103"/>
    <mergeCell ref="C104:E104"/>
    <mergeCell ref="F104:I104"/>
    <mergeCell ref="C108:E108"/>
    <mergeCell ref="F108:I108"/>
    <mergeCell ref="C109:E109"/>
    <mergeCell ref="F109:I109"/>
    <mergeCell ref="C110:E110"/>
    <mergeCell ref="F110:I110"/>
    <mergeCell ref="C111:E111"/>
    <mergeCell ref="F111:I111"/>
    <mergeCell ref="C112:E112"/>
    <mergeCell ref="F112:I112"/>
    <mergeCell ref="C113:E113"/>
    <mergeCell ref="F113:I11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51"/>
  <sheetViews>
    <sheetView showFormulas="false" showGridLines="true" showRowColHeaders="true" showZeros="true" rightToLeft="false" tabSelected="false" showOutlineSymbols="true" defaultGridColor="true" view="normal" topLeftCell="A1" colorId="64" zoomScale="200" zoomScaleNormal="200" zoomScalePageLayoutView="100" workbookViewId="0">
      <selection pane="topLeft" activeCell="B18" activeCellId="0" sqref="B18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71" width="2.55"/>
    <col collapsed="false" customWidth="true" hidden="false" outlineLevel="0" max="2" min="2" style="71" width="81.39"/>
    <col collapsed="false" customWidth="true" hidden="false" outlineLevel="0" max="3" min="3" style="71" width="18.64"/>
    <col collapsed="false" customWidth="true" hidden="false" outlineLevel="0" max="4" min="4" style="72" width="6.39"/>
    <col collapsed="false" customWidth="true" hidden="false" outlineLevel="0" max="5" min="5" style="71" width="11.53"/>
    <col collapsed="false" customWidth="true" hidden="false" outlineLevel="0" max="6" min="6" style="71" width="42.43"/>
    <col collapsed="false" customWidth="true" hidden="false" outlineLevel="0" max="7" min="7" style="71" width="9.57"/>
    <col collapsed="false" customWidth="true" hidden="false" outlineLevel="0" max="8" min="8" style="71" width="42.57"/>
    <col collapsed="false" customWidth="true" hidden="false" outlineLevel="0" max="9" min="9" style="71" width="28.52"/>
    <col collapsed="false" customWidth="true" hidden="false" outlineLevel="0" max="10" min="10" style="53" width="2.55"/>
    <col collapsed="false" customWidth="false" hidden="false" outlineLevel="0" max="16382" min="12" style="71" width="8.68"/>
    <col collapsed="false" customWidth="true" hidden="false" outlineLevel="0" max="16384" min="16383" style="71" width="11.53"/>
  </cols>
  <sheetData>
    <row r="1" customFormat="false" ht="15" hidden="false" customHeight="true" outlineLevel="0" collapsed="false">
      <c r="A1" s="73"/>
      <c r="B1" s="73"/>
      <c r="C1" s="73"/>
      <c r="D1" s="74"/>
      <c r="E1" s="73"/>
      <c r="F1" s="73"/>
      <c r="G1" s="73"/>
      <c r="H1" s="73"/>
      <c r="I1" s="73"/>
      <c r="J1" s="75"/>
    </row>
    <row r="2" customFormat="false" ht="15" hidden="false" customHeight="true" outlineLevel="0" collapsed="false">
      <c r="A2" s="73"/>
      <c r="B2" s="36" t="s">
        <v>419</v>
      </c>
      <c r="C2" s="73"/>
      <c r="D2" s="74"/>
      <c r="E2" s="73"/>
      <c r="F2" s="73"/>
      <c r="G2" s="73"/>
      <c r="H2" s="73"/>
      <c r="I2" s="73"/>
      <c r="J2" s="75"/>
    </row>
    <row r="3" customFormat="false" ht="15" hidden="false" customHeight="true" outlineLevel="0" collapsed="false">
      <c r="A3" s="73"/>
      <c r="B3" s="36"/>
      <c r="C3" s="73"/>
      <c r="D3" s="74"/>
      <c r="E3" s="73"/>
      <c r="F3" s="73"/>
      <c r="G3" s="73"/>
      <c r="H3" s="73"/>
      <c r="I3" s="73"/>
      <c r="J3" s="75"/>
    </row>
    <row r="4" customFormat="false" ht="22.5" hidden="false" customHeight="true" outlineLevel="0" collapsed="false">
      <c r="A4" s="73"/>
      <c r="B4" s="76" t="s">
        <v>420</v>
      </c>
      <c r="C4" s="73"/>
      <c r="D4" s="74"/>
      <c r="E4" s="73"/>
      <c r="F4" s="73"/>
      <c r="G4" s="73"/>
      <c r="H4" s="73"/>
      <c r="I4" s="73"/>
      <c r="J4" s="75"/>
    </row>
    <row r="5" customFormat="false" ht="15" hidden="false" customHeight="true" outlineLevel="0" collapsed="false">
      <c r="A5" s="73"/>
      <c r="B5" s="77" t="s">
        <v>2</v>
      </c>
      <c r="C5" s="73"/>
      <c r="D5" s="74"/>
      <c r="E5" s="73"/>
      <c r="F5" s="73"/>
      <c r="G5" s="73"/>
      <c r="H5" s="73"/>
      <c r="I5" s="73"/>
      <c r="J5" s="75"/>
    </row>
    <row r="6" customFormat="false" ht="15" hidden="false" customHeight="true" outlineLevel="0" collapsed="false">
      <c r="A6" s="73"/>
      <c r="B6" s="73"/>
      <c r="C6" s="73"/>
      <c r="D6" s="74"/>
      <c r="E6" s="73"/>
      <c r="F6" s="73"/>
      <c r="G6" s="73"/>
      <c r="H6" s="73"/>
      <c r="I6" s="73"/>
      <c r="J6" s="75"/>
    </row>
    <row r="7" customFormat="false" ht="87" hidden="false" customHeight="true" outlineLevel="0" collapsed="false">
      <c r="A7" s="73"/>
      <c r="B7" s="78" t="s">
        <v>421</v>
      </c>
      <c r="C7" s="73"/>
      <c r="D7" s="74"/>
      <c r="E7" s="73"/>
      <c r="F7" s="73"/>
      <c r="G7" s="73"/>
      <c r="H7" s="73"/>
      <c r="I7" s="73"/>
      <c r="J7" s="75"/>
    </row>
    <row r="8" customFormat="false" ht="15" hidden="false" customHeight="true" outlineLevel="0" collapsed="false">
      <c r="A8" s="73"/>
      <c r="B8" s="73"/>
      <c r="C8" s="73"/>
      <c r="D8" s="74"/>
      <c r="E8" s="73"/>
      <c r="F8" s="73"/>
      <c r="G8" s="73"/>
      <c r="H8" s="73"/>
      <c r="I8" s="73"/>
      <c r="J8" s="75"/>
    </row>
    <row r="9" customFormat="false" ht="15" hidden="false" customHeight="true" outlineLevel="0" collapsed="false">
      <c r="A9" s="73"/>
      <c r="B9" s="79" t="s">
        <v>422</v>
      </c>
      <c r="C9" s="73"/>
      <c r="D9" s="74"/>
      <c r="E9" s="73"/>
      <c r="F9" s="73"/>
      <c r="G9" s="73"/>
      <c r="H9" s="73"/>
      <c r="I9" s="73"/>
      <c r="J9" s="75"/>
    </row>
    <row r="10" customFormat="false" ht="15" hidden="false" customHeight="true" outlineLevel="0" collapsed="false">
      <c r="A10" s="73"/>
      <c r="B10" s="42" t="s">
        <v>8</v>
      </c>
      <c r="C10" s="80" t="s">
        <v>9</v>
      </c>
      <c r="D10" s="81" t="s">
        <v>10</v>
      </c>
      <c r="E10" s="82"/>
      <c r="F10" s="81" t="s">
        <v>48</v>
      </c>
      <c r="G10" s="82"/>
      <c r="H10" s="82"/>
      <c r="I10" s="82"/>
      <c r="J10" s="75"/>
    </row>
    <row r="11" customFormat="false" ht="27" hidden="false" customHeight="true" outlineLevel="0" collapsed="false">
      <c r="A11" s="73"/>
      <c r="B11" s="7" t="s">
        <v>186</v>
      </c>
      <c r="C11" s="83" t="n">
        <f aca="false">'Class-E Calculator'!C18</f>
        <v>14</v>
      </c>
      <c r="D11" s="84" t="s">
        <v>16</v>
      </c>
      <c r="E11" s="73"/>
      <c r="F11" s="85" t="s">
        <v>423</v>
      </c>
      <c r="G11" s="73"/>
      <c r="H11" s="73"/>
      <c r="I11" s="73"/>
      <c r="J11" s="75"/>
    </row>
    <row r="12" customFormat="false" ht="53.25" hidden="false" customHeight="true" outlineLevel="0" collapsed="false">
      <c r="A12" s="73"/>
      <c r="B12" s="7" t="s">
        <v>424</v>
      </c>
      <c r="C12" s="83" t="n">
        <f aca="false">'Class-E Calculator'!C42</f>
        <v>32.289222500631</v>
      </c>
      <c r="D12" s="84" t="s">
        <v>22</v>
      </c>
      <c r="E12" s="73"/>
      <c r="F12" s="85" t="s">
        <v>425</v>
      </c>
      <c r="G12" s="73"/>
      <c r="H12" s="73"/>
      <c r="I12" s="73"/>
      <c r="J12" s="75"/>
    </row>
    <row r="13" customFormat="false" ht="27" hidden="false" customHeight="true" outlineLevel="0" collapsed="false">
      <c r="A13" s="73"/>
      <c r="B13" s="7" t="s">
        <v>426</v>
      </c>
      <c r="C13" s="83" t="n">
        <f aca="false">'Class-E Calculator'!C25</f>
        <v>50</v>
      </c>
      <c r="D13" s="84" t="s">
        <v>22</v>
      </c>
      <c r="E13" s="73"/>
      <c r="F13" s="85" t="s">
        <v>427</v>
      </c>
      <c r="G13" s="73"/>
      <c r="H13" s="73"/>
      <c r="I13" s="73"/>
      <c r="J13" s="75"/>
    </row>
    <row r="14" customFormat="false" ht="27" hidden="false" customHeight="true" outlineLevel="0" collapsed="false">
      <c r="A14" s="73"/>
      <c r="B14" s="7" t="s">
        <v>182</v>
      </c>
      <c r="C14" s="83" t="n">
        <f aca="false">'Class-E Calculator'!C16</f>
        <v>5</v>
      </c>
      <c r="D14" s="84" t="s">
        <v>12</v>
      </c>
      <c r="E14" s="73"/>
      <c r="F14" s="85" t="s">
        <v>428</v>
      </c>
      <c r="G14" s="73"/>
      <c r="H14" s="73"/>
      <c r="I14" s="73"/>
      <c r="J14" s="75"/>
    </row>
    <row r="15" customFormat="false" ht="15" hidden="false" customHeight="true" outlineLevel="0" collapsed="false">
      <c r="A15" s="73"/>
      <c r="B15" s="7" t="s">
        <v>228</v>
      </c>
      <c r="C15" s="83" t="n">
        <f aca="false">'Class-E Calculator'!C17</f>
        <v>0.4</v>
      </c>
      <c r="D15" s="84" t="s">
        <v>14</v>
      </c>
      <c r="E15" s="73"/>
      <c r="F15" s="85" t="s">
        <v>429</v>
      </c>
      <c r="G15" s="73"/>
      <c r="H15" s="73"/>
      <c r="I15" s="73"/>
      <c r="J15" s="75"/>
    </row>
    <row r="16" customFormat="false" ht="15" hidden="false" customHeight="true" outlineLevel="0" collapsed="false">
      <c r="A16" s="73"/>
      <c r="B16" s="86"/>
      <c r="C16" s="87"/>
      <c r="D16" s="74"/>
      <c r="E16" s="73"/>
      <c r="F16" s="73"/>
      <c r="G16" s="73"/>
      <c r="H16" s="73"/>
      <c r="I16" s="73"/>
      <c r="J16" s="75"/>
    </row>
    <row r="17" customFormat="false" ht="15" hidden="false" customHeight="true" outlineLevel="0" collapsed="false">
      <c r="A17" s="73"/>
      <c r="B17" s="36" t="s">
        <v>47</v>
      </c>
      <c r="C17" s="87"/>
      <c r="D17" s="74"/>
      <c r="E17" s="73"/>
      <c r="F17" s="33" t="str">
        <f aca="false">IF('Class-E Calculator'!C25/'Class-E Calculator'!C42&lt;1.5,"✅ Impedance ratio n&lt;1.5 — direct asymmetric LPF is valid.",IF('Class-E Calculator'!C25/'Class-E Calculator'!C42&lt;=3,"⚠ n="&amp;TEXT('Class-E Calculator'!C25/'Class-E Calculator'!C42,"0.0")&amp;" — Valid range, verify with LTspice.","🚨 n="&amp;TEXT('Class-E Calculator'!C25/'Class-E Calculator'!C42,"0.0")&amp;" — Use L-network + 50Ω LPF on main sheet instead."))</f>
        <v>⚠ n=02 — Valid range, verify with LTspice.</v>
      </c>
      <c r="G17" s="73"/>
      <c r="H17" s="73"/>
      <c r="I17" s="73"/>
      <c r="J17" s="75"/>
    </row>
    <row r="18" customFormat="false" ht="15" hidden="false" customHeight="true" outlineLevel="0" collapsed="false">
      <c r="A18" s="73"/>
      <c r="B18" s="42" t="s">
        <v>8</v>
      </c>
      <c r="C18" s="80" t="s">
        <v>9</v>
      </c>
      <c r="D18" s="81" t="s">
        <v>10</v>
      </c>
      <c r="E18" s="81"/>
      <c r="F18" s="81" t="s">
        <v>48</v>
      </c>
      <c r="G18" s="82"/>
      <c r="H18" s="82"/>
      <c r="I18" s="82"/>
      <c r="J18" s="75"/>
    </row>
    <row r="19" customFormat="false" ht="40.5" hidden="false" customHeight="true" outlineLevel="0" collapsed="false">
      <c r="A19" s="73"/>
      <c r="B19" s="7" t="s">
        <v>134</v>
      </c>
      <c r="C19" s="88" t="n">
        <f aca="false">1.4*C11</f>
        <v>19.6</v>
      </c>
      <c r="D19" s="84" t="s">
        <v>16</v>
      </c>
      <c r="E19" s="73"/>
      <c r="F19" s="85" t="s">
        <v>430</v>
      </c>
      <c r="G19" s="73"/>
      <c r="H19" s="73"/>
      <c r="I19" s="73"/>
      <c r="J19" s="75"/>
    </row>
    <row r="20" customFormat="false" ht="15" hidden="false" customHeight="true" outlineLevel="0" collapsed="false">
      <c r="A20" s="73"/>
      <c r="B20" s="7" t="s">
        <v>136</v>
      </c>
      <c r="C20" s="88" t="n">
        <f aca="false">2*PI()*C19*1000000</f>
        <v>123150432.02072</v>
      </c>
      <c r="D20" s="84" t="s">
        <v>50</v>
      </c>
      <c r="E20" s="73"/>
      <c r="F20" s="73"/>
      <c r="G20" s="73"/>
      <c r="H20" s="73"/>
      <c r="I20" s="73"/>
      <c r="J20" s="75"/>
    </row>
    <row r="21" customFormat="false" ht="53.25" hidden="false" customHeight="true" outlineLevel="0" collapsed="false">
      <c r="A21" s="73"/>
      <c r="B21" s="7" t="s">
        <v>431</v>
      </c>
      <c r="C21" s="88" t="n">
        <f aca="false">IF(NOT(ISNUMBER(C12)),"⚠ R_opt invalid — fix QL on main sheet first",C13/C12)</f>
        <v>1.54850430353419</v>
      </c>
      <c r="D21" s="84" t="s">
        <v>18</v>
      </c>
      <c r="E21" s="73"/>
      <c r="F21" s="85" t="s">
        <v>432</v>
      </c>
      <c r="G21" s="73"/>
      <c r="H21" s="73"/>
      <c r="I21" s="73"/>
      <c r="J21" s="75"/>
    </row>
    <row r="22" customFormat="false" ht="79.5" hidden="false" customHeight="true" outlineLevel="0" collapsed="false">
      <c r="A22" s="73"/>
      <c r="B22" s="7" t="s">
        <v>433</v>
      </c>
      <c r="C22" s="89" t="n">
        <f aca="false">IF(NOT(ISNUMBER(C12)),"⚠ R_opt invalid — fix QL on main sheet first",SQRT(C12*C13))</f>
        <v>40.1803574527598</v>
      </c>
      <c r="D22" s="84" t="s">
        <v>22</v>
      </c>
      <c r="E22" s="73"/>
      <c r="F22" s="85" t="s">
        <v>434</v>
      </c>
      <c r="G22" s="73"/>
      <c r="H22" s="73"/>
      <c r="I22" s="73"/>
      <c r="J22" s="75"/>
    </row>
    <row r="23" customFormat="false" ht="132" hidden="false" customHeight="true" outlineLevel="0" collapsed="false">
      <c r="A23" s="73"/>
      <c r="B23" s="7" t="s">
        <v>435</v>
      </c>
      <c r="C23" s="90" t="n">
        <f aca="false">MAX(3.562*('Class-E Calculator'!C16-'Class-E Calculator'!C35-'Class-E Calculator'!C20)+'Class-E Calculator'!C20,3.562*('Class-E Calculator'!C16-'Class-E Calculator'!C20)+'Class-E Calculator'!C20)</f>
        <v>17.81</v>
      </c>
      <c r="D23" s="84" t="s">
        <v>12</v>
      </c>
      <c r="E23" s="73"/>
      <c r="F23" s="85" t="s">
        <v>436</v>
      </c>
      <c r="G23" s="73"/>
      <c r="H23" s="73"/>
      <c r="I23" s="73"/>
      <c r="J23" s="75"/>
    </row>
    <row r="24" customFormat="false" ht="40.5" hidden="false" customHeight="true" outlineLevel="0" collapsed="false">
      <c r="A24" s="73"/>
      <c r="B24" s="7" t="s">
        <v>437</v>
      </c>
      <c r="C24" s="89" t="n">
        <f aca="false">SQRT(C15/C13)</f>
        <v>0.0894427190999916</v>
      </c>
      <c r="D24" s="84" t="s">
        <v>55</v>
      </c>
      <c r="E24" s="73"/>
      <c r="F24" s="85" t="s">
        <v>438</v>
      </c>
      <c r="G24" s="73"/>
      <c r="H24" s="73"/>
      <c r="I24" s="73"/>
      <c r="J24" s="75"/>
    </row>
    <row r="25" customFormat="false" ht="15" hidden="false" customHeight="true" outlineLevel="0" collapsed="false">
      <c r="A25" s="73"/>
      <c r="B25" s="86"/>
      <c r="C25" s="87"/>
      <c r="D25" s="74"/>
      <c r="E25" s="73"/>
      <c r="F25" s="73"/>
      <c r="G25" s="73"/>
      <c r="H25" s="73"/>
      <c r="I25" s="73"/>
      <c r="J25" s="75"/>
    </row>
    <row r="26" customFormat="false" ht="29.25" hidden="false" customHeight="true" outlineLevel="0" collapsed="false">
      <c r="A26" s="73"/>
      <c r="B26" s="36" t="s">
        <v>439</v>
      </c>
      <c r="C26" s="87"/>
      <c r="D26" s="74"/>
      <c r="E26" s="73"/>
      <c r="F26" s="75"/>
      <c r="G26" s="73"/>
      <c r="H26" s="73"/>
      <c r="I26" s="73"/>
      <c r="J26" s="75"/>
    </row>
    <row r="27" customFormat="false" ht="15" hidden="false" customHeight="true" outlineLevel="0" collapsed="false">
      <c r="A27" s="73"/>
      <c r="B27" s="42" t="s">
        <v>8</v>
      </c>
      <c r="C27" s="80" t="s">
        <v>9</v>
      </c>
      <c r="D27" s="81" t="s">
        <v>10</v>
      </c>
      <c r="E27" s="81" t="s">
        <v>60</v>
      </c>
      <c r="F27" s="81" t="s">
        <v>48</v>
      </c>
      <c r="G27" s="82"/>
      <c r="H27" s="82"/>
      <c r="I27" s="82"/>
      <c r="J27" s="75"/>
    </row>
    <row r="28" customFormat="false" ht="40.5" hidden="false" customHeight="true" outlineLevel="0" collapsed="false">
      <c r="A28" s="73"/>
      <c r="B28" s="7" t="s">
        <v>440</v>
      </c>
      <c r="C28" s="89" t="n">
        <f aca="false">IF(NOT(ISNUMBER(C12)),"⚠ R_opt invalid — fix QL on main sheet first",IF(ISNUMBER(C21),IF(C21&gt;3,"⚠ n&gt;3: Use L-network + 50Ω LPF",1.1468*C22/C20),"⚠ n invalid"))</f>
        <v>3.74167050579833E-007</v>
      </c>
      <c r="D28" s="84" t="s">
        <v>67</v>
      </c>
      <c r="E28" s="73"/>
      <c r="F28" s="85" t="s">
        <v>441</v>
      </c>
      <c r="G28" s="73"/>
      <c r="H28" s="73"/>
      <c r="I28" s="73"/>
      <c r="J28" s="75"/>
    </row>
    <row r="29" customFormat="false" ht="15" hidden="false" customHeight="true" outlineLevel="0" collapsed="false">
      <c r="A29" s="73"/>
      <c r="B29" s="7" t="s">
        <v>141</v>
      </c>
      <c r="C29" s="89" t="n">
        <f aca="false">IF(ISNUMBER(C28),C28*1000000,C28)</f>
        <v>0.374167050579833</v>
      </c>
      <c r="D29" s="84" t="s">
        <v>70</v>
      </c>
      <c r="E29" s="84" t="str">
        <f aca="false">IFERROR(IF(ISNUMBER(C29),TEXT(10^INT(LOG10(ABS(C29)+1E-030))*CHOOSE(MATCH(C29/10^INT(LOG10(ABS(C29)+1E-030)),{0,1.048809,1.148913,1.249,1.396424,1.549193,1.697056,1.897367,2.097618,2.297825,2.545584,2.84605,3.146427,3.446738,3.746999,4.095119,4.495553,4.895917,5.344156,5.892368,6.493073,7.141428,7.842194,8.638287,9.539392},1),1,1.1,1.2,1.3,1.5,1.6,1.8,2,2.2,2.4,2.7,3,3.3,3.6,3.9,4.3,4.7,5.1,5.6,6.2,6.8,7.5,8.2,9.1,10),"0.##")&amp;" "&amp;D29,C29),"—")</f>
        <v>0 µH</v>
      </c>
      <c r="F29" s="73"/>
      <c r="G29" s="73"/>
      <c r="H29" s="73"/>
      <c r="I29" s="73"/>
      <c r="J29" s="75"/>
    </row>
    <row r="30" customFormat="false" ht="53.25" hidden="false" customHeight="true" outlineLevel="0" collapsed="false">
      <c r="A30" s="73"/>
      <c r="B30" s="7" t="s">
        <v>442</v>
      </c>
      <c r="C30" s="89" t="n">
        <f aca="false">IF(NOT(ISNUMBER(C12)),"⚠ R_opt invalid — fix QL on main sheet first",IF(C21&gt;3,"⚠ n&gt;3: Use L-network + 50Ω LPF",1.3712/(C12*C20)))</f>
        <v>3.4483177462972E-010</v>
      </c>
      <c r="D30" s="84" t="s">
        <v>62</v>
      </c>
      <c r="E30" s="73"/>
      <c r="F30" s="85" t="s">
        <v>443</v>
      </c>
      <c r="G30" s="73"/>
      <c r="H30" s="73"/>
      <c r="I30" s="73"/>
      <c r="J30" s="75"/>
    </row>
    <row r="31" customFormat="false" ht="15" hidden="false" customHeight="true" outlineLevel="0" collapsed="false">
      <c r="A31" s="73"/>
      <c r="B31" s="7" t="s">
        <v>144</v>
      </c>
      <c r="C31" s="89" t="n">
        <f aca="false">IF(ISNUMBER(C30),C30*1000000000000,C30)</f>
        <v>344.83177462972</v>
      </c>
      <c r="D31" s="84" t="s">
        <v>30</v>
      </c>
      <c r="E31" s="84" t="str">
        <f aca="false">IFERROR(IF(ISNUMBER(C31),TEXT(10^INT(LOG10(ABS(C31)+1E-030))*CHOOSE(MATCH(C31/10^INT(LOG10(ABS(C31)+1E-030)),{0,1.048809,1.148913,1.249,1.396424,1.549193,1.697056,1.897367,2.097618,2.297825,2.545584,2.84605,3.146427,3.446738,3.746999,4.095119,4.495553,4.895917,5.344156,5.892368,6.493073,7.141428,7.842194,8.638287,9.539392},1),1,1.1,1.2,1.3,1.5,1.6,1.8,2,2.2,2.4,2.7,3,3.3,3.6,3.9,4.3,4.7,5.1,5.6,6.2,6.8,7.5,8.2,9.1,10),"0.##")&amp;" "&amp;D31,C31),"—")</f>
        <v>360 pF</v>
      </c>
      <c r="F31" s="73"/>
      <c r="G31" s="73"/>
      <c r="H31" s="73"/>
      <c r="I31" s="73"/>
      <c r="J31" s="75"/>
    </row>
    <row r="32" customFormat="false" ht="27" hidden="false" customHeight="true" outlineLevel="0" collapsed="false">
      <c r="A32" s="73"/>
      <c r="B32" s="7" t="s">
        <v>444</v>
      </c>
      <c r="C32" s="89" t="n">
        <f aca="false">IF(NOT(ISNUMBER(C12)),"⚠ R_opt invalid — fix QL on main sheet first",IF(ISNUMBER(C21),IF(C21&gt;3,"⚠ n&gt;3: Use L-network + 50Ω LPF",1.975*C22/C20),"⚠ n invalid"))</f>
        <v>6.44384308419227E-007</v>
      </c>
      <c r="D32" s="84" t="s">
        <v>67</v>
      </c>
      <c r="E32" s="73"/>
      <c r="F32" s="85" t="s">
        <v>445</v>
      </c>
      <c r="G32" s="73"/>
      <c r="H32" s="73"/>
      <c r="I32" s="73"/>
      <c r="J32" s="75"/>
    </row>
    <row r="33" customFormat="false" ht="15" hidden="false" customHeight="true" outlineLevel="0" collapsed="false">
      <c r="A33" s="73"/>
      <c r="B33" s="7" t="s">
        <v>147</v>
      </c>
      <c r="C33" s="89" t="n">
        <f aca="false">IF(ISNUMBER(C32),C32*1000000,C32)</f>
        <v>0.644384308419227</v>
      </c>
      <c r="D33" s="84" t="s">
        <v>70</v>
      </c>
      <c r="E33" s="84" t="str">
        <f aca="false">IFERROR(IF(ISNUMBER(C33),TEXT(10^INT(LOG10(ABS(C33)+1E-030))*CHOOSE(MATCH(C33/10^INT(LOG10(ABS(C33)+1E-030)),{0,1.048809,1.148913,1.249,1.396424,1.549193,1.697056,1.897367,2.097618,2.297825,2.545584,2.84605,3.146427,3.446738,3.746999,4.095119,4.495553,4.895917,5.344156,5.892368,6.493073,7.141428,7.842194,8.638287,9.539392},1),1,1.1,1.2,1.3,1.5,1.6,1.8,2,2.2,2.4,2.7,3,3.3,3.6,3.9,4.3,4.7,5.1,5.6,6.2,6.8,7.5,8.2,9.1,10),"0.##")&amp;" "&amp;D33,C33),"—")</f>
        <v>01 µH</v>
      </c>
      <c r="F33" s="73"/>
      <c r="G33" s="73"/>
      <c r="H33" s="73"/>
      <c r="I33" s="73"/>
      <c r="J33" s="75"/>
    </row>
    <row r="34" customFormat="false" ht="53.25" hidden="false" customHeight="true" outlineLevel="0" collapsed="false">
      <c r="A34" s="73"/>
      <c r="B34" s="7" t="s">
        <v>446</v>
      </c>
      <c r="C34" s="89" t="n">
        <f aca="false">IF(NOT(ISNUMBER(C12)),"⚠ R_opt invalid — fix QL on main sheet first",IF(NOT(ISNUMBER(C21)),"⚠ n invalid",IF(C21&gt;3,"⚠ n&gt;3: Use L-network + 50Ω LPF",1.3712/(C13*C20))))</f>
        <v>2.2268699792613E-010</v>
      </c>
      <c r="D34" s="84" t="s">
        <v>62</v>
      </c>
      <c r="E34" s="73"/>
      <c r="F34" s="85" t="s">
        <v>447</v>
      </c>
      <c r="G34" s="73"/>
      <c r="H34" s="73"/>
      <c r="I34" s="73"/>
      <c r="J34" s="75"/>
    </row>
    <row r="35" customFormat="false" ht="15" hidden="false" customHeight="true" outlineLevel="0" collapsed="false">
      <c r="A35" s="73"/>
      <c r="B35" s="7" t="s">
        <v>150</v>
      </c>
      <c r="C35" s="89" t="n">
        <f aca="false">IF(ISNUMBER(C34),C34*1000000000000,C34)</f>
        <v>222.68699792613</v>
      </c>
      <c r="D35" s="84" t="s">
        <v>30</v>
      </c>
      <c r="E35" s="84" t="str">
        <f aca="false">IFERROR(IF(ISNUMBER(C35),TEXT(10^INT(LOG10(ABS(C35)+1E-030))*CHOOSE(MATCH(C35/10^INT(LOG10(ABS(C35)+1E-030)),{0,1.048809,1.148913,1.249,1.396424,1.549193,1.697056,1.897367,2.097618,2.297825,2.545584,2.84605,3.146427,3.446738,3.746999,4.095119,4.495553,4.895917,5.344156,5.892368,6.493073,7.141428,7.842194,8.638287,9.539392},1),1,1.1,1.2,1.3,1.5,1.6,1.8,2,2.2,2.4,2.7,3,3.3,3.6,3.9,4.3,4.7,5.1,5.6,6.2,6.8,7.5,8.2,9.1,10),"0.##")&amp;" "&amp;D35,C35),"—")</f>
        <v>220 pF</v>
      </c>
      <c r="F35" s="73"/>
      <c r="G35" s="73"/>
      <c r="H35" s="73"/>
      <c r="I35" s="73"/>
      <c r="J35" s="75"/>
    </row>
    <row r="36" customFormat="false" ht="53.25" hidden="false" customHeight="true" outlineLevel="0" collapsed="false">
      <c r="A36" s="73"/>
      <c r="B36" s="7" t="s">
        <v>448</v>
      </c>
      <c r="C36" s="89" t="n">
        <f aca="false">IF(NOT(ISNUMBER(C12)),"⚠ R_opt invalid — fix QL on main sheet first",IF(ISNUMBER(C21),IF(C21&gt;3,"⚠ n&gt;3: Use L-network + 50Ω LPF",1.1468*C22/C20),"⚠ n invalid"))</f>
        <v>3.74167050579833E-007</v>
      </c>
      <c r="D36" s="84" t="s">
        <v>67</v>
      </c>
      <c r="E36" s="73"/>
      <c r="F36" s="85" t="s">
        <v>449</v>
      </c>
      <c r="G36" s="73"/>
      <c r="H36" s="73"/>
      <c r="I36" s="73"/>
      <c r="J36" s="75"/>
    </row>
    <row r="37" customFormat="false" ht="15" hidden="false" customHeight="true" outlineLevel="0" collapsed="false">
      <c r="A37" s="73"/>
      <c r="B37" s="7" t="s">
        <v>153</v>
      </c>
      <c r="C37" s="89" t="n">
        <f aca="false">IF(ISNUMBER(C36),C36*1000000,C36)</f>
        <v>0.374167050579833</v>
      </c>
      <c r="D37" s="84" t="s">
        <v>70</v>
      </c>
      <c r="E37" s="84" t="str">
        <f aca="false">IFERROR(IF(ISNUMBER(C37),TEXT(10^INT(LOG10(ABS(C37)+1E-030))*CHOOSE(MATCH(C37/10^INT(LOG10(ABS(C37)+1E-030)),{0,1.048809,1.148913,1.249,1.396424,1.549193,1.697056,1.897367,2.097618,2.297825,2.545584,2.84605,3.146427,3.446738,3.746999,4.095119,4.495553,4.895917,5.344156,5.892368,6.493073,7.141428,7.842194,8.638287,9.539392},1),1,1.1,1.2,1.3,1.5,1.6,1.8,2,2.2,2.4,2.7,3,3.3,3.6,3.9,4.3,4.7,5.1,5.6,6.2,6.8,7.5,8.2,9.1,10),"0.##")&amp;" "&amp;D37,C37),"—")</f>
        <v>0 µH</v>
      </c>
      <c r="F37" s="73"/>
      <c r="G37" s="73"/>
      <c r="H37" s="73"/>
      <c r="I37" s="73"/>
      <c r="J37" s="75"/>
    </row>
    <row r="38" customFormat="false" ht="15" hidden="false" customHeight="true" outlineLevel="0" collapsed="false">
      <c r="A38" s="73"/>
      <c r="B38" s="86"/>
      <c r="C38" s="87"/>
      <c r="D38" s="74"/>
      <c r="E38" s="73"/>
      <c r="F38" s="73"/>
      <c r="G38" s="73"/>
      <c r="H38" s="73"/>
      <c r="I38" s="73"/>
      <c r="J38" s="75"/>
    </row>
    <row r="39" customFormat="false" ht="15" hidden="false" customHeight="true" outlineLevel="0" collapsed="false">
      <c r="A39" s="73"/>
      <c r="B39" s="36" t="s">
        <v>112</v>
      </c>
      <c r="C39" s="87"/>
      <c r="D39" s="74"/>
      <c r="E39" s="73"/>
      <c r="F39" s="73"/>
      <c r="G39" s="73"/>
      <c r="H39" s="73"/>
      <c r="I39" s="73"/>
      <c r="J39" s="75"/>
    </row>
    <row r="40" customFormat="false" ht="15" hidden="false" customHeight="true" outlineLevel="0" collapsed="false">
      <c r="A40" s="73"/>
      <c r="B40" s="42" t="s">
        <v>8</v>
      </c>
      <c r="C40" s="80" t="s">
        <v>9</v>
      </c>
      <c r="D40" s="81" t="s">
        <v>10</v>
      </c>
      <c r="E40" s="81"/>
      <c r="F40" s="81" t="s">
        <v>48</v>
      </c>
      <c r="G40" s="82"/>
      <c r="H40" s="82"/>
      <c r="I40" s="82"/>
      <c r="J40" s="75"/>
    </row>
    <row r="41" customFormat="false" ht="144.75" hidden="false" customHeight="true" outlineLevel="0" collapsed="false">
      <c r="A41" s="73"/>
      <c r="B41" s="7" t="s">
        <v>450</v>
      </c>
      <c r="C41" s="89" t="n">
        <f aca="false">-10*LOG10((1+(10^(0.1/10)-1)*(16*(2*C11/C19)^5-20*(2*C11/C19)^3+5*(2*C11/C19))^2)/(1+(10^(0.1/10)-1)*(16*(C11/C19)^5-20*(C11/C19)^3+5*(C11/C19))^2))</f>
        <v>-16.5874077706108</v>
      </c>
      <c r="D41" s="84" t="s">
        <v>155</v>
      </c>
      <c r="E41" s="84" t="str">
        <f aca="false">IF(C41&lt;-50,"✅ UPPER BOUND ≥−50 dBc (see I41 for worst-case asymmetric estimate)",IF(C41&lt;-43,"⚠ UPPER BOUND ≥−43 dBc (FCC only; see I41)","🚨 Fails FCC −43 dBc even as upper bound (see I41)"))</f>
        <v>🚨 Fails FCC −43 dBc even as upper bound (see I41)</v>
      </c>
      <c r="F41" s="85" t="str">
        <f aca="false">IF(C41&lt;-50,"✅ "&amp;TEXT(ABS(C41),"0.0")&amp;" dBc at 2f — meets IARU −50 dBc and FCC §97.307 −43 dBc.","⚠ "&amp;TEXT(ABS(C41),"0.0")&amp;" dBc at 2f — insufficient for IARU −50 dBc. Increase filter order or lower fc.")</f>
        <v>⚠ 17 dBc at 2f — insufficient for IARU −50 dBc. Increase filter order or lower fc.</v>
      </c>
      <c r="G41" s="73"/>
      <c r="H41" s="33" t="str">
        <f aca="false">IF(ABS(C21-1)&gt;0.05,"⚠ ASYMMETRIC FILTER — n=Z_load/R_opt="&amp;TEXT(C21,"0.00")&amp;"×. The Chebyshev attenuation formula below assumes equal source/load impedances. For asymmetric terminations: (a) passband insertion-loss error ≈"&amp;TEXT(ABS(10*LOG10((1+C21)^2/(4*C21))),"0.1")&amp;" dB; (b) stopband attenuation at 2f/3f can be 10–20 dB LOWER than calculated when n&gt;1.5. These C41/C42 values must be treated as UPPER BOUNDS only. Verify actual stopband depth with LTspice using R_opt as the source impedance.","✅ n≈1: near-symmetric — attenuation estimates reliable (error &lt;1 dB).")</f>
        <v>⚠ ASYMMETRIC FILTER — n=Z_load/R_opt=1,55×. The Chebyshev attenuation formula below assumes equal source/load impedances. For asymmetric terminations: (a) passband insertion-loss error ≈0 dB; (b) stopband attenuation at 2f/3f can be 10–20 dB LOWER than calculated when n&gt;1.5. These C41/C42 values must be treated as UPPER BOUNDS only. Verify actual stopband depth with LTspice using R_opt as the source impedance.</v>
      </c>
      <c r="I41" s="33" t="str">
        <f aca="false">IF(ABS(C21-1)&gt;0.05, "Lower-bound estimate (worst-case asymmetric): "&amp;TEXT(C41+20,"0.0")&amp;" dBc at 2f (assumes up to 20 dB penalty for n="&amp;TEXT(C21,"0.00")&amp;"×). "&amp;IF(C41+20&lt;-50,"✅ Even worst-case meets IARU -50 dBc.",IF(C41+20&lt;-43,"⚠ Worst-case meets FCC -43 dBc only — verify with LTspice.","🚨 Worst-case may fail FCC -43 dBc. Reduce fc or increase poles.")), "— (n≈1, penalty small)")</f>
        <v>Lower-bound estimate (worst-case asymmetric): 03 dBc at 2f (assumes up to 20 dB penalty for n=1,55×). 🚨 Worst-case may fail FCC -43 dBc. Reduce fc or increase poles.</v>
      </c>
      <c r="J41" s="75"/>
    </row>
    <row r="42" customFormat="false" ht="144.75" hidden="false" customHeight="true" outlineLevel="0" collapsed="false">
      <c r="A42" s="73"/>
      <c r="B42" s="7" t="s">
        <v>451</v>
      </c>
      <c r="C42" s="89" t="n">
        <f aca="false">-10*LOG10((1+(10^(0.1/10)-1)*(16*(3*C11/C19)^5-20*(3*C11/C19)^3+5*(3*C11/C19))^2)/(1+(10^(0.1/10)-1)*(16*(C11/C19)^5-20*(C11/C19)^3+5*(C11/C19))^2))</f>
        <v>-38.2143276045362</v>
      </c>
      <c r="D42" s="84" t="s">
        <v>155</v>
      </c>
      <c r="E42" s="84" t="str">
        <f aca="false">IF(C42&lt;-50,"✅ UPPER BOUND ≥−50 dBc at 3f (see I42)",IF(C42&lt;-43,"⚠ UPPER BOUND ≥−43 dBc FCC only (see I42)","🚨 Fails FCC −43 dBc at 3f (upper bound; see I42)"))</f>
        <v>🚨 Fails FCC −43 dBc at 3f (upper bound; see I42)</v>
      </c>
      <c r="F42" s="85" t="str">
        <f aca="false">IF(C42&lt;-50,"✅ "&amp;TEXT(ABS(C42),"0.0")&amp;" dBc at 3f — excellent harmonic rejection.","⚠ "&amp;TEXT(ABS(C42),"0.0")&amp;" dBc at 3f — add filter poles for IARU compliance.")</f>
        <v>⚠ 38 dBc at 3f — add filter poles for IARU compliance.</v>
      </c>
      <c r="G42" s="73"/>
      <c r="H42" s="33" t="str">
        <f aca="false">H41</f>
        <v>⚠ ASYMMETRIC FILTER — n=Z_load/R_opt=1,55×. The Chebyshev attenuation formula below assumes equal source/load impedances. For asymmetric terminations: (a) passband insertion-loss error ≈0 dB; (b) stopband attenuation at 2f/3f can be 10–20 dB LOWER than calculated when n&gt;1.5. These C41/C42 values must be treated as UPPER BOUNDS only. Verify actual stopband depth with LTspice using R_opt as the source impedance.</v>
      </c>
      <c r="I42" s="33" t="str">
        <f aca="false">IF(ABS(C21-1)&gt;0.05, "Lower-bound estimate (worst-case asymmetric): "&amp;TEXT(C42+20,"0.0")&amp;" dBc at 3f.", "—")</f>
        <v>Lower-bound estimate (worst-case asymmetric): -18 dBc at 3f.</v>
      </c>
      <c r="J42" s="75"/>
    </row>
    <row r="43" customFormat="false" ht="66.75" hidden="false" customHeight="true" outlineLevel="0" collapsed="false">
      <c r="A43" s="73"/>
      <c r="B43" s="7" t="s">
        <v>157</v>
      </c>
      <c r="C43" s="91"/>
      <c r="D43" s="74"/>
      <c r="E43" s="73"/>
      <c r="F43" s="85" t="str">
        <f aca="false">IF('Class-E Calculator'!C65&lt;0.1,"⚠ LPF SOURCE: No L-network on main sheet — LPF source IS R_opt. These attenuation values apply directly to this sheet's design.","ℹ L-network active on main sheet (Q="&amp;TEXT('Class-E Calculator'!C65,"0.00")&amp;"×). When using this LPF direct-coupled sheet, connect the LPF directly to the drain WITHOUT the main-sheet L-network. The two approaches are alternatives, not series.")</f>
        <v>ℹ L-network active on main sheet (Q=0,74×). When using this LPF direct-coupled sheet, connect the LPF directly to the drain WITHOUT the main-sheet L-network. The two approaches are alternatives, not series.</v>
      </c>
      <c r="G43" s="73"/>
      <c r="H43" s="73"/>
      <c r="I43" s="73"/>
      <c r="J43" s="75"/>
    </row>
    <row r="44" customFormat="false" ht="15" hidden="false" customHeight="true" outlineLevel="0" collapsed="false">
      <c r="A44" s="73"/>
      <c r="B44" s="73"/>
      <c r="C44" s="73"/>
      <c r="D44" s="74"/>
      <c r="E44" s="73"/>
      <c r="F44" s="73"/>
      <c r="G44" s="73"/>
      <c r="H44" s="73"/>
      <c r="I44" s="73"/>
      <c r="J44" s="75"/>
    </row>
    <row r="45" customFormat="false" ht="15" hidden="false" customHeight="true" outlineLevel="0" collapsed="false">
      <c r="B45" s="92"/>
    </row>
    <row r="46" customFormat="false" ht="15" hidden="false" customHeight="true" outlineLevel="0" collapsed="false">
      <c r="B46" s="93"/>
    </row>
    <row r="47" customFormat="false" ht="15" hidden="false" customHeight="true" outlineLevel="0" collapsed="false">
      <c r="B47" s="93"/>
    </row>
    <row r="48" customFormat="false" ht="15" hidden="false" customHeight="true" outlineLevel="0" collapsed="false">
      <c r="B48" s="93"/>
    </row>
    <row r="49" customFormat="false" ht="15" hidden="false" customHeight="true" outlineLevel="0" collapsed="false">
      <c r="B49" s="93"/>
    </row>
    <row r="50" customFormat="false" ht="15" hidden="false" customHeight="true" outlineLevel="0" collapsed="false">
      <c r="B50" s="93"/>
    </row>
    <row r="51" customFormat="false" ht="15" hidden="false" customHeight="true" outlineLevel="0" collapsed="false">
      <c r="B51" s="93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48"/>
  <sheetViews>
    <sheetView showFormulas="false" showGridLines="true" showRowColHeaders="true" showZeros="true" rightToLeft="false" tabSelected="false" showOutlineSymbols="true" defaultGridColor="true" view="normal" topLeftCell="A34" colorId="64" zoomScale="200" zoomScaleNormal="200" zoomScalePageLayoutView="100" workbookViewId="0">
      <selection pane="topLeft" activeCell="E12" activeCellId="0" sqref="E12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94" width="2.55"/>
    <col collapsed="false" customWidth="true" hidden="false" outlineLevel="0" max="2" min="2" style="94" width="81.39"/>
    <col collapsed="false" customWidth="true" hidden="false" outlineLevel="0" max="3" min="3" style="94" width="19.2"/>
    <col collapsed="false" customWidth="true" hidden="false" outlineLevel="0" max="4" min="4" style="94" width="6.25"/>
    <col collapsed="false" customWidth="true" hidden="false" outlineLevel="0" max="5" min="5" style="94" width="11.53"/>
    <col collapsed="false" customWidth="true" hidden="false" outlineLevel="0" max="6" min="6" style="94" width="34.25"/>
    <col collapsed="false" customWidth="true" hidden="false" outlineLevel="0" max="7" min="7" style="94" width="2.55"/>
    <col collapsed="false" customWidth="true" hidden="false" outlineLevel="0" max="8" min="8" style="94" width="66.15"/>
    <col collapsed="false" customWidth="true" hidden="false" outlineLevel="0" max="9" min="9" style="94" width="35.96"/>
    <col collapsed="false" customWidth="true" hidden="false" outlineLevel="0" max="10" min="10" style="94" width="2.55"/>
    <col collapsed="false" customWidth="false" hidden="false" outlineLevel="0" max="16383" min="12" style="94" width="8.68"/>
    <col collapsed="false" customWidth="true" hidden="false" outlineLevel="0" max="16384" min="16384" style="94" width="11.53"/>
  </cols>
  <sheetData>
    <row r="1" customFormat="false" ht="15" hidden="false" customHeight="true" outlineLevel="0" collapsed="false">
      <c r="A1" s="95"/>
      <c r="B1" s="95"/>
      <c r="C1" s="95"/>
      <c r="D1" s="95"/>
      <c r="E1" s="95"/>
      <c r="F1" s="95"/>
      <c r="G1" s="95"/>
      <c r="H1" s="95"/>
      <c r="I1" s="95"/>
      <c r="J1" s="95"/>
    </row>
    <row r="2" customFormat="false" ht="15" hidden="false" customHeight="true" outlineLevel="0" collapsed="false">
      <c r="A2" s="95"/>
      <c r="B2" s="85" t="s">
        <v>452</v>
      </c>
      <c r="C2" s="95"/>
      <c r="D2" s="95"/>
      <c r="E2" s="95"/>
      <c r="F2" s="95"/>
      <c r="G2" s="95"/>
      <c r="H2" s="95"/>
      <c r="I2" s="95"/>
      <c r="J2" s="95"/>
    </row>
    <row r="3" customFormat="false" ht="15" hidden="false" customHeight="true" outlineLevel="0" collapsed="false">
      <c r="A3" s="95"/>
      <c r="B3" s="95"/>
      <c r="C3" s="95"/>
      <c r="D3" s="95"/>
      <c r="E3" s="95"/>
      <c r="F3" s="95"/>
      <c r="G3" s="95"/>
      <c r="H3" s="95"/>
      <c r="I3" s="95"/>
      <c r="J3" s="95"/>
    </row>
    <row r="4" customFormat="false" ht="50.25" hidden="false" customHeight="true" outlineLevel="0" collapsed="false">
      <c r="A4" s="95"/>
      <c r="B4" s="96" t="s">
        <v>453</v>
      </c>
      <c r="C4" s="95"/>
      <c r="D4" s="95"/>
      <c r="E4" s="95"/>
      <c r="F4" s="95"/>
      <c r="G4" s="95"/>
      <c r="H4" s="95"/>
      <c r="I4" s="95"/>
      <c r="J4" s="95"/>
    </row>
    <row r="5" customFormat="false" ht="15" hidden="false" customHeight="true" outlineLevel="0" collapsed="false">
      <c r="A5" s="95"/>
      <c r="B5" s="97" t="s">
        <v>2</v>
      </c>
      <c r="C5" s="95"/>
      <c r="D5" s="95"/>
      <c r="E5" s="95"/>
      <c r="F5" s="95"/>
      <c r="G5" s="95"/>
      <c r="H5" s="95"/>
      <c r="I5" s="95"/>
      <c r="J5" s="95"/>
    </row>
    <row r="6" customFormat="false" ht="15" hidden="false" customHeight="true" outlineLevel="0" collapsed="false">
      <c r="A6" s="95"/>
      <c r="B6" s="98"/>
      <c r="C6" s="95"/>
      <c r="D6" s="95"/>
      <c r="E6" s="95"/>
      <c r="F6" s="95"/>
      <c r="G6" s="95"/>
      <c r="H6" s="95"/>
      <c r="I6" s="95"/>
      <c r="J6" s="95"/>
    </row>
    <row r="7" customFormat="false" ht="87" hidden="false" customHeight="true" outlineLevel="0" collapsed="false">
      <c r="A7" s="95"/>
      <c r="B7" s="96" t="s">
        <v>454</v>
      </c>
      <c r="C7" s="95"/>
      <c r="D7" s="95"/>
      <c r="E7" s="95"/>
      <c r="F7" s="95"/>
      <c r="G7" s="95"/>
      <c r="H7" s="95"/>
      <c r="I7" s="95"/>
      <c r="J7" s="95"/>
    </row>
    <row r="8" customFormat="false" ht="15" hidden="false" customHeight="true" outlineLevel="0" collapsed="false">
      <c r="A8" s="95"/>
      <c r="B8" s="95"/>
      <c r="C8" s="95"/>
      <c r="D8" s="95"/>
      <c r="E8" s="95"/>
      <c r="F8" s="95"/>
      <c r="G8" s="95"/>
      <c r="H8" s="95"/>
      <c r="I8" s="95"/>
      <c r="J8" s="95"/>
    </row>
    <row r="9" customFormat="false" ht="15" hidden="false" customHeight="true" outlineLevel="0" collapsed="false">
      <c r="A9" s="95"/>
      <c r="B9" s="85" t="s">
        <v>422</v>
      </c>
      <c r="C9" s="95"/>
      <c r="D9" s="95"/>
      <c r="E9" s="95"/>
      <c r="F9" s="95"/>
      <c r="G9" s="95"/>
      <c r="H9" s="95"/>
      <c r="I9" s="95"/>
      <c r="J9" s="95"/>
    </row>
    <row r="10" customFormat="false" ht="15" hidden="false" customHeight="true" outlineLevel="0" collapsed="false">
      <c r="A10" s="95"/>
      <c r="B10" s="99" t="s">
        <v>8</v>
      </c>
      <c r="C10" s="100" t="s">
        <v>9</v>
      </c>
      <c r="D10" s="101" t="s">
        <v>10</v>
      </c>
      <c r="E10" s="102"/>
      <c r="F10" s="101" t="s">
        <v>48</v>
      </c>
      <c r="G10" s="102"/>
      <c r="H10" s="102"/>
      <c r="I10" s="102"/>
      <c r="J10" s="95"/>
    </row>
    <row r="11" customFormat="false" ht="27" hidden="false" customHeight="true" outlineLevel="0" collapsed="false">
      <c r="A11" s="95"/>
      <c r="B11" s="103" t="s">
        <v>186</v>
      </c>
      <c r="C11" s="104" t="n">
        <f aca="false">'Class-E Calculator'!C18</f>
        <v>14</v>
      </c>
      <c r="D11" s="85" t="s">
        <v>16</v>
      </c>
      <c r="E11" s="95"/>
      <c r="F11" s="85" t="s">
        <v>423</v>
      </c>
      <c r="G11" s="95"/>
      <c r="H11" s="95"/>
      <c r="I11" s="95"/>
      <c r="J11" s="95"/>
    </row>
    <row r="12" customFormat="false" ht="66.75" hidden="false" customHeight="true" outlineLevel="0" collapsed="false">
      <c r="A12" s="95"/>
      <c r="B12" s="103" t="s">
        <v>424</v>
      </c>
      <c r="C12" s="104" t="n">
        <f aca="false">'Class-E Calculator'!C42</f>
        <v>32.289222500631</v>
      </c>
      <c r="D12" s="85" t="s">
        <v>22</v>
      </c>
      <c r="E12" s="95"/>
      <c r="F12" s="85" t="s">
        <v>425</v>
      </c>
      <c r="G12" s="95"/>
      <c r="H12" s="95"/>
      <c r="I12" s="95"/>
      <c r="J12" s="95"/>
    </row>
    <row r="13" customFormat="false" ht="27" hidden="false" customHeight="true" outlineLevel="0" collapsed="false">
      <c r="A13" s="95"/>
      <c r="B13" s="103" t="s">
        <v>426</v>
      </c>
      <c r="C13" s="104" t="n">
        <f aca="false">'Class-E Calculator'!C25</f>
        <v>50</v>
      </c>
      <c r="D13" s="85" t="s">
        <v>22</v>
      </c>
      <c r="E13" s="95"/>
      <c r="F13" s="85" t="s">
        <v>427</v>
      </c>
      <c r="G13" s="95"/>
      <c r="H13" s="95"/>
      <c r="I13" s="95"/>
      <c r="J13" s="95"/>
    </row>
    <row r="14" customFormat="false" ht="27" hidden="false" customHeight="true" outlineLevel="0" collapsed="false">
      <c r="A14" s="95"/>
      <c r="B14" s="103" t="s">
        <v>182</v>
      </c>
      <c r="C14" s="104" t="n">
        <f aca="false">'Class-E Calculator'!C16</f>
        <v>5</v>
      </c>
      <c r="D14" s="85" t="s">
        <v>12</v>
      </c>
      <c r="E14" s="95"/>
      <c r="F14" s="85" t="s">
        <v>428</v>
      </c>
      <c r="G14" s="95"/>
      <c r="H14" s="95"/>
      <c r="I14" s="95"/>
      <c r="J14" s="95"/>
    </row>
    <row r="15" customFormat="false" ht="15" hidden="false" customHeight="true" outlineLevel="0" collapsed="false">
      <c r="A15" s="95"/>
      <c r="B15" s="103" t="s">
        <v>228</v>
      </c>
      <c r="C15" s="104" t="n">
        <f aca="false">'Class-E Calculator'!C17</f>
        <v>0.4</v>
      </c>
      <c r="D15" s="85" t="s">
        <v>14</v>
      </c>
      <c r="E15" s="95"/>
      <c r="F15" s="85" t="s">
        <v>429</v>
      </c>
      <c r="G15" s="95"/>
      <c r="H15" s="95"/>
      <c r="I15" s="95"/>
      <c r="J15" s="95"/>
    </row>
    <row r="16" customFormat="false" ht="15" hidden="false" customHeight="true" outlineLevel="0" collapsed="false">
      <c r="A16" s="95"/>
      <c r="B16" s="95"/>
      <c r="C16" s="105"/>
      <c r="D16" s="95"/>
      <c r="E16" s="95"/>
      <c r="F16" s="95"/>
      <c r="G16" s="95"/>
      <c r="H16" s="95"/>
      <c r="I16" s="95"/>
      <c r="J16" s="95"/>
    </row>
    <row r="17" customFormat="false" ht="27" hidden="false" customHeight="true" outlineLevel="0" collapsed="false">
      <c r="A17" s="95"/>
      <c r="B17" s="85" t="s">
        <v>47</v>
      </c>
      <c r="C17" s="105"/>
      <c r="D17" s="95"/>
      <c r="E17" s="95"/>
      <c r="F17" s="85" t="str">
        <f aca="false">IF('Class-E Calculator'!C25/'Class-E Calculator'!C42&lt;1.5,"✅ Impedance ratio n&lt;1.5 — direct asymmetric LPF is valid.",IF('Class-E Calculator'!C25/'Class-E Calculator'!C42&lt;=3,"⚠ n="&amp;TEXT('Class-E Calculator'!C25/'Class-E Calculator'!C42,"0.0")&amp;" — Valid range, verify with LTspice.","🚨 n="&amp;TEXT('Class-E Calculator'!C25/'Class-E Calculator'!C42,"0.0")&amp;" — Use L-network + 50Ω LPF on main sheet instead."))</f>
        <v>⚠ n=02 — Valid range, verify with LTspice.</v>
      </c>
      <c r="G17" s="95"/>
      <c r="H17" s="95"/>
      <c r="I17" s="95"/>
      <c r="J17" s="95"/>
    </row>
    <row r="18" customFormat="false" ht="15" hidden="false" customHeight="true" outlineLevel="0" collapsed="false">
      <c r="A18" s="95"/>
      <c r="B18" s="99" t="s">
        <v>8</v>
      </c>
      <c r="C18" s="100" t="s">
        <v>9</v>
      </c>
      <c r="D18" s="101" t="s">
        <v>10</v>
      </c>
      <c r="E18" s="102"/>
      <c r="F18" s="101" t="s">
        <v>48</v>
      </c>
      <c r="G18" s="102"/>
      <c r="H18" s="102"/>
      <c r="I18" s="102"/>
      <c r="J18" s="95"/>
    </row>
    <row r="19" customFormat="false" ht="40.5" hidden="false" customHeight="true" outlineLevel="0" collapsed="false">
      <c r="A19" s="95"/>
      <c r="B19" s="103" t="s">
        <v>134</v>
      </c>
      <c r="C19" s="106" t="n">
        <f aca="false">1.4*C11</f>
        <v>19.6</v>
      </c>
      <c r="D19" s="85" t="s">
        <v>16</v>
      </c>
      <c r="E19" s="95"/>
      <c r="F19" s="85" t="s">
        <v>430</v>
      </c>
      <c r="G19" s="95"/>
      <c r="H19" s="95"/>
      <c r="I19" s="95"/>
      <c r="J19" s="95"/>
    </row>
    <row r="20" customFormat="false" ht="15" hidden="false" customHeight="true" outlineLevel="0" collapsed="false">
      <c r="A20" s="95"/>
      <c r="B20" s="103" t="s">
        <v>136</v>
      </c>
      <c r="C20" s="106" t="n">
        <f aca="false">2*PI()*C19*1000000</f>
        <v>123150432.02072</v>
      </c>
      <c r="D20" s="85" t="s">
        <v>50</v>
      </c>
      <c r="E20" s="95"/>
      <c r="F20" s="95"/>
      <c r="G20" s="95"/>
      <c r="H20" s="95"/>
      <c r="I20" s="95"/>
      <c r="J20" s="95"/>
    </row>
    <row r="21" customFormat="false" ht="79.5" hidden="false" customHeight="true" outlineLevel="0" collapsed="false">
      <c r="A21" s="95"/>
      <c r="B21" s="103" t="s">
        <v>431</v>
      </c>
      <c r="C21" s="106" t="n">
        <f aca="false">IF(NOT(ISNUMBER(C12)),"⚠ R_opt invalid — fix QL on main sheet first",C13/C12)</f>
        <v>1.54850430353419</v>
      </c>
      <c r="D21" s="85" t="s">
        <v>18</v>
      </c>
      <c r="E21" s="95"/>
      <c r="F21" s="85" t="s">
        <v>455</v>
      </c>
      <c r="G21" s="95"/>
      <c r="H21" s="95"/>
      <c r="I21" s="95"/>
      <c r="J21" s="95"/>
    </row>
    <row r="22" customFormat="false" ht="79.5" hidden="false" customHeight="true" outlineLevel="0" collapsed="false">
      <c r="A22" s="95"/>
      <c r="B22" s="103" t="s">
        <v>433</v>
      </c>
      <c r="C22" s="106" t="n">
        <f aca="false">IF(NOT(ISNUMBER(C12)),"⚠ R_opt invalid — fix QL on main sheet first",SQRT(C12*C13))</f>
        <v>40.1803574527598</v>
      </c>
      <c r="D22" s="85" t="s">
        <v>22</v>
      </c>
      <c r="E22" s="95"/>
      <c r="F22" s="85" t="s">
        <v>456</v>
      </c>
      <c r="G22" s="95"/>
      <c r="H22" s="95"/>
      <c r="I22" s="95"/>
      <c r="J22" s="95"/>
    </row>
    <row r="23" customFormat="false" ht="171" hidden="false" customHeight="true" outlineLevel="0" collapsed="false">
      <c r="A23" s="95"/>
      <c r="B23" s="103" t="s">
        <v>435</v>
      </c>
      <c r="C23" s="106" t="n">
        <f aca="false">MAX(3.562*('Class-E Calculator'!C16-'Class-E Calculator'!C35-'Class-E Calculator'!C20)+'Class-E Calculator'!C20,3.562*('Class-E Calculator'!C16-'Class-E Calculator'!C20)+'Class-E Calculator'!C20)</f>
        <v>17.81</v>
      </c>
      <c r="D23" s="85" t="s">
        <v>12</v>
      </c>
      <c r="E23" s="95"/>
      <c r="F23" s="85" t="s">
        <v>436</v>
      </c>
      <c r="G23" s="95"/>
      <c r="H23" s="95"/>
      <c r="I23" s="95"/>
      <c r="J23" s="95"/>
    </row>
    <row r="24" customFormat="false" ht="53.25" hidden="false" customHeight="true" outlineLevel="0" collapsed="false">
      <c r="A24" s="95"/>
      <c r="B24" s="103" t="s">
        <v>437</v>
      </c>
      <c r="C24" s="106" t="n">
        <f aca="false">SQRT(C15/C13)</f>
        <v>0.0894427190999916</v>
      </c>
      <c r="D24" s="85" t="s">
        <v>55</v>
      </c>
      <c r="E24" s="95"/>
      <c r="F24" s="85" t="s">
        <v>457</v>
      </c>
      <c r="G24" s="95"/>
      <c r="H24" s="95"/>
      <c r="I24" s="95"/>
      <c r="J24" s="95"/>
    </row>
    <row r="25" customFormat="false" ht="15" hidden="false" customHeight="true" outlineLevel="0" collapsed="false">
      <c r="A25" s="95"/>
      <c r="B25" s="95"/>
      <c r="C25" s="105"/>
      <c r="D25" s="95"/>
      <c r="E25" s="95"/>
      <c r="F25" s="95"/>
      <c r="G25" s="95"/>
      <c r="H25" s="95"/>
      <c r="I25" s="95"/>
      <c r="J25" s="95"/>
    </row>
    <row r="26" customFormat="false" ht="15" hidden="false" customHeight="true" outlineLevel="0" collapsed="false">
      <c r="A26" s="95"/>
      <c r="B26" s="85" t="s">
        <v>458</v>
      </c>
      <c r="C26" s="95"/>
      <c r="D26" s="95"/>
      <c r="E26" s="95"/>
      <c r="F26" s="95"/>
      <c r="G26" s="95"/>
      <c r="H26" s="95"/>
      <c r="I26" s="95"/>
      <c r="J26" s="95"/>
    </row>
    <row r="27" customFormat="false" ht="15" hidden="false" customHeight="true" outlineLevel="0" collapsed="false">
      <c r="A27" s="95"/>
      <c r="B27" s="99" t="s">
        <v>8</v>
      </c>
      <c r="C27" s="100" t="s">
        <v>9</v>
      </c>
      <c r="D27" s="100" t="s">
        <v>10</v>
      </c>
      <c r="E27" s="101" t="s">
        <v>60</v>
      </c>
      <c r="F27" s="101" t="s">
        <v>48</v>
      </c>
      <c r="G27" s="102"/>
      <c r="H27" s="102"/>
      <c r="I27" s="102"/>
      <c r="J27" s="95"/>
    </row>
    <row r="28" customFormat="false" ht="40.5" hidden="false" customHeight="true" outlineLevel="0" collapsed="false">
      <c r="A28" s="95"/>
      <c r="B28" s="103" t="s">
        <v>459</v>
      </c>
      <c r="C28" s="106" t="n">
        <f aca="false">IF(NOT(ISNUMBER(C12)),"⚠ R_opt invalid — fix QL on main sheet first",IF(ISNUMBER(C21),IF(C21&gt;3,"⚠ n&gt;3: Use L-network + 50Ω LPF",1.181203*C22/C20),"⚠ n invalid"))</f>
        <v>3.85391735826692E-007</v>
      </c>
      <c r="D28" s="85" t="s">
        <v>67</v>
      </c>
      <c r="E28" s="95"/>
      <c r="F28" s="85" t="s">
        <v>441</v>
      </c>
      <c r="G28" s="95"/>
      <c r="H28" s="95"/>
      <c r="I28" s="95"/>
      <c r="J28" s="95"/>
    </row>
    <row r="29" customFormat="false" ht="15" hidden="false" customHeight="true" outlineLevel="0" collapsed="false">
      <c r="A29" s="95"/>
      <c r="B29" s="103" t="s">
        <v>141</v>
      </c>
      <c r="C29" s="106" t="n">
        <f aca="false">IF(ISNUMBER(C28),C28*1000000,C28)</f>
        <v>0.385391735826692</v>
      </c>
      <c r="D29" s="85" t="s">
        <v>70</v>
      </c>
      <c r="E29" s="85" t="str">
        <f aca="false">IFERROR(IF(ISNUMBER(C29),TEXT(10^INT(LOG10(ABS(C29)+1E-030))*CHOOSE(MATCH(C29/10^INT(LOG10(ABS(C29)+1E-030)),{0,1.048809,1.148913,1.249,1.396424,1.549193,1.697056,1.897367,2.097618,2.297825,2.545584,2.84605,3.146427,3.446738,3.746999,4.095119,4.495553,4.895917,5.344156,5.892368,6.493073,7.141428,7.842194,8.638287,9.539392},1),1,1.1,1.2,1.3,1.5,1.6,1.8,2,2.2,2.4,2.7,3,3.3,3.6,3.9,4.3,4.7,5.1,5.6,6.2,6.8,7.5,8.2,9.1,10),"0.##")&amp;" "&amp;D29,C29),"—")</f>
        <v>0 µH</v>
      </c>
      <c r="F29" s="95"/>
      <c r="G29" s="95"/>
      <c r="H29" s="95"/>
      <c r="I29" s="95"/>
      <c r="J29" s="95"/>
    </row>
    <row r="30" customFormat="false" ht="66.75" hidden="false" customHeight="true" outlineLevel="0" collapsed="false">
      <c r="A30" s="95"/>
      <c r="B30" s="103" t="s">
        <v>460</v>
      </c>
      <c r="C30" s="106" t="n">
        <f aca="false">IF(NOT(ISNUMBER(C12)),"⚠ R_opt invalid — fix QL on main sheet first",IF(C21&gt;3,"⚠ n&gt;3: Use L-network + 50Ω LPF",1.422802/(C12*C20)))</f>
        <v>3.57808735856706E-010</v>
      </c>
      <c r="D30" s="85" t="s">
        <v>62</v>
      </c>
      <c r="E30" s="95"/>
      <c r="F30" s="85" t="s">
        <v>443</v>
      </c>
      <c r="G30" s="95"/>
      <c r="H30" s="95"/>
      <c r="I30" s="95"/>
      <c r="J30" s="95"/>
    </row>
    <row r="31" customFormat="false" ht="15" hidden="false" customHeight="true" outlineLevel="0" collapsed="false">
      <c r="A31" s="95"/>
      <c r="B31" s="103" t="s">
        <v>144</v>
      </c>
      <c r="C31" s="106" t="n">
        <f aca="false">IF(ISNUMBER(C30),C30*1000000000000,C30)</f>
        <v>357.808735856706</v>
      </c>
      <c r="D31" s="85" t="s">
        <v>30</v>
      </c>
      <c r="E31" s="85" t="str">
        <f aca="false">IFERROR(IF(ISNUMBER(C31),TEXT(10^INT(LOG10(ABS(C31)+1E-030))*CHOOSE(MATCH(C31/10^INT(LOG10(ABS(C31)+1E-030)),{0,1.048809,1.148913,1.249,1.396424,1.549193,1.697056,1.897367,2.097618,2.297825,2.545584,2.84605,3.146427,3.446738,3.746999,4.095119,4.495553,4.895917,5.344156,5.892368,6.493073,7.141428,7.842194,8.638287,9.539392},1),1,1.1,1.2,1.3,1.5,1.6,1.8,2,2.2,2.4,2.7,3,3.3,3.6,3.9,4.3,4.7,5.1,5.6,6.2,6.8,7.5,8.2,9.1,10),"0.##")&amp;" "&amp;D31,C31),"—")</f>
        <v>360 pF</v>
      </c>
      <c r="F31" s="95"/>
      <c r="G31" s="95"/>
      <c r="H31" s="95"/>
      <c r="I31" s="95"/>
      <c r="J31" s="95"/>
    </row>
    <row r="32" customFormat="false" ht="40.5" hidden="false" customHeight="true" outlineLevel="0" collapsed="false">
      <c r="A32" s="95"/>
      <c r="B32" s="103" t="s">
        <v>461</v>
      </c>
      <c r="C32" s="106" t="n">
        <f aca="false">IF(NOT(ISNUMBER(C12)),"⚠ R_opt invalid — fix QL on main sheet first",IF(ISNUMBER(C21),IF(C21&gt;3,"⚠ n&gt;3: Use L-network + 50Ω LPF",2.096694*C22/C20),"⚠ n invalid"))</f>
        <v>6.84089475016072E-007</v>
      </c>
      <c r="D32" s="85" t="s">
        <v>67</v>
      </c>
      <c r="E32" s="95"/>
      <c r="F32" s="85" t="s">
        <v>462</v>
      </c>
      <c r="G32" s="95"/>
      <c r="H32" s="95"/>
      <c r="I32" s="95"/>
      <c r="J32" s="95"/>
    </row>
    <row r="33" customFormat="false" ht="15" hidden="false" customHeight="true" outlineLevel="0" collapsed="false">
      <c r="A33" s="95"/>
      <c r="B33" s="103" t="s">
        <v>147</v>
      </c>
      <c r="C33" s="106" t="n">
        <f aca="false">IF(ISNUMBER(C32),C32*1000000,C32)</f>
        <v>0.684089475016072</v>
      </c>
      <c r="D33" s="85" t="s">
        <v>70</v>
      </c>
      <c r="E33" s="85" t="str">
        <f aca="false">IFERROR(IF(ISNUMBER(C33),TEXT(10^INT(LOG10(ABS(C33)+1E-030))*CHOOSE(MATCH(C33/10^INT(LOG10(ABS(C33)+1E-030)),{0,1.048809,1.148913,1.249,1.396424,1.549193,1.697056,1.897367,2.097618,2.297825,2.545584,2.84605,3.146427,3.446738,3.746999,4.095119,4.495553,4.895917,5.344156,5.892368,6.493073,7.141428,7.842194,8.638287,9.539392},1),1,1.1,1.2,1.3,1.5,1.6,1.8,2,2.2,2.4,2.7,3,3.3,3.6,3.9,4.3,4.7,5.1,5.6,6.2,6.8,7.5,8.2,9.1,10),"0.##")&amp;" "&amp;D33,C33),"—")</f>
        <v>01 µH</v>
      </c>
      <c r="F33" s="95"/>
      <c r="G33" s="95"/>
      <c r="H33" s="95"/>
      <c r="I33" s="95"/>
      <c r="J33" s="95"/>
    </row>
    <row r="34" customFormat="false" ht="210" hidden="false" customHeight="true" outlineLevel="0" collapsed="false">
      <c r="A34" s="95"/>
      <c r="B34" s="103" t="s">
        <v>463</v>
      </c>
      <c r="C34" s="106" t="n">
        <f aca="false">IF(NOT(ISNUMBER(C12)),"⚠ R_opt invalid — fix QL on main sheet first",IF(NOT(ISNUMBER(C22)),"⚠ Z0_eff invalid",IF(C21&gt;3,"⚠ n&gt;3: Use L-network + 50Ω LPF",1.573396/(C22*C20))))</f>
        <v>3.17971580830855E-010</v>
      </c>
      <c r="D34" s="85" t="s">
        <v>62</v>
      </c>
      <c r="E34" s="95"/>
      <c r="F34" s="85" t="s">
        <v>464</v>
      </c>
      <c r="G34" s="95"/>
      <c r="H34" s="95"/>
      <c r="I34" s="95"/>
      <c r="J34" s="95"/>
    </row>
    <row r="35" customFormat="false" ht="15" hidden="false" customHeight="true" outlineLevel="0" collapsed="false">
      <c r="A35" s="95"/>
      <c r="B35" s="103" t="s">
        <v>150</v>
      </c>
      <c r="C35" s="106" t="n">
        <f aca="false">IF(ISNUMBER(C34),C34*1000000000000,C34)</f>
        <v>317.971580830855</v>
      </c>
      <c r="D35" s="85" t="s">
        <v>30</v>
      </c>
      <c r="E35" s="85" t="str">
        <f aca="false">IFERROR(IF(ISNUMBER(C35),TEXT(10^INT(LOG10(ABS(C35)+1E-030))*CHOOSE(MATCH(C35/10^INT(LOG10(ABS(C35)+1E-030)),{0,1.048809,1.148913,1.249,1.396424,1.549193,1.697056,1.897367,2.097618,2.297825,2.545584,2.84605,3.146427,3.446738,3.746999,4.095119,4.495553,4.895917,5.344156,5.892368,6.493073,7.141428,7.842194,8.638287,9.539392},1),1,1.1,1.2,1.3,1.5,1.6,1.8,2,2.2,2.4,2.7,3,3.3,3.6,3.9,4.3,4.7,5.1,5.6,6.2,6.8,7.5,8.2,9.1,10),"0.##")&amp;" "&amp;D35,C35),"—")</f>
        <v>330 pF</v>
      </c>
      <c r="F35" s="95"/>
      <c r="G35" s="95"/>
      <c r="H35" s="95"/>
      <c r="I35" s="95"/>
      <c r="J35" s="95"/>
    </row>
    <row r="36" customFormat="false" ht="40.5" hidden="false" customHeight="true" outlineLevel="0" collapsed="false">
      <c r="A36" s="95"/>
      <c r="B36" s="103" t="s">
        <v>465</v>
      </c>
      <c r="C36" s="106" t="n">
        <f aca="false">IF(NOT(ISNUMBER(C12)),"⚠ R_opt invalid — fix QL on main sheet first",IF(ISNUMBER(C21),IF(C21&gt;3,"⚠ n&gt;3: Use L-network + 50Ω LPF",2.096694*C22/C20),"⚠ n invalid"))</f>
        <v>6.84089475016072E-007</v>
      </c>
      <c r="D36" s="85" t="s">
        <v>67</v>
      </c>
      <c r="E36" s="95"/>
      <c r="F36" s="85" t="s">
        <v>466</v>
      </c>
      <c r="G36" s="95"/>
      <c r="H36" s="95"/>
      <c r="I36" s="95"/>
      <c r="J36" s="95"/>
    </row>
    <row r="37" customFormat="false" ht="15" hidden="false" customHeight="true" outlineLevel="0" collapsed="false">
      <c r="A37" s="95"/>
      <c r="B37" s="103" t="s">
        <v>153</v>
      </c>
      <c r="C37" s="106" t="n">
        <f aca="false">IF(ISNUMBER(C36),C36*1000000,C36)</f>
        <v>0.684089475016072</v>
      </c>
      <c r="D37" s="85" t="s">
        <v>70</v>
      </c>
      <c r="E37" s="85" t="str">
        <f aca="false">IFERROR(IF(ISNUMBER(C37),TEXT(10^INT(LOG10(ABS(C37)+1E-030))*CHOOSE(MATCH(C37/10^INT(LOG10(ABS(C37)+1E-030)),{0,1.048809,1.148913,1.249,1.396424,1.549193,1.697056,1.897367,2.097618,2.297825,2.545584,2.84605,3.146427,3.446738,3.746999,4.095119,4.495553,4.895917,5.344156,5.892368,6.493073,7.141428,7.842194,8.638287,9.539392},1),1,1.1,1.2,1.3,1.5,1.6,1.8,2,2.2,2.4,2.7,3,3.3,3.6,3.9,4.3,4.7,5.1,5.6,6.2,6.8,7.5,8.2,9.1,10),"0.##")&amp;" "&amp;D37,C37),"—")</f>
        <v>01 µH</v>
      </c>
      <c r="F37" s="95"/>
      <c r="G37" s="95"/>
      <c r="H37" s="95"/>
      <c r="I37" s="95"/>
      <c r="J37" s="95"/>
    </row>
    <row r="38" customFormat="false" ht="66.75" hidden="false" customHeight="true" outlineLevel="0" collapsed="false">
      <c r="A38" s="95"/>
      <c r="B38" s="103" t="s">
        <v>467</v>
      </c>
      <c r="C38" s="106" t="n">
        <f aca="false">IF(NOT(ISNUMBER(C12)),"⚠ R_opt invalid — fix QL on main sheet first",IF(NOT(ISNUMBER(C21)),"⚠ n invalid",IF(C21&gt;3,"⚠ n&gt;3: Use L-network + 50Ω LPF",1.422802/(C13*C20))))</f>
        <v>2.31067317694934E-010</v>
      </c>
      <c r="D38" s="85" t="s">
        <v>62</v>
      </c>
      <c r="E38" s="95"/>
      <c r="F38" s="85" t="s">
        <v>468</v>
      </c>
      <c r="G38" s="95"/>
      <c r="H38" s="95"/>
      <c r="I38" s="95"/>
      <c r="J38" s="95"/>
    </row>
    <row r="39" customFormat="false" ht="15" hidden="false" customHeight="true" outlineLevel="0" collapsed="false">
      <c r="A39" s="95"/>
      <c r="B39" s="103" t="s">
        <v>469</v>
      </c>
      <c r="C39" s="106" t="n">
        <f aca="false">IF(ISNUMBER(C38),C38*1000000000000,C38)</f>
        <v>231.067317694934</v>
      </c>
      <c r="D39" s="85" t="s">
        <v>30</v>
      </c>
      <c r="E39" s="85" t="str">
        <f aca="false">IFERROR(IF(ISNUMBER(C39),TEXT(10^INT(LOG10(ABS(C39)+1E-030))*CHOOSE(MATCH(C39/10^INT(LOG10(ABS(C39)+1E-030)),{0,1.048809,1.148913,1.249,1.396424,1.549193,1.697056,1.897367,2.097618,2.297825,2.545584,2.84605,3.146427,3.446738,3.746999,4.095119,4.495553,4.895917,5.344156,5.892368,6.493073,7.141428,7.842194,8.638287,9.539392},1),1,1.1,1.2,1.3,1.5,1.6,1.8,2,2.2,2.4,2.7,3,3.3,3.6,3.9,4.3,4.7,5.1,5.6,6.2,6.8,7.5,8.2,9.1,10),"0.##")&amp;" "&amp;D39,C39),"—")</f>
        <v>240 pF</v>
      </c>
      <c r="F39" s="95"/>
      <c r="G39" s="95"/>
      <c r="H39" s="95"/>
      <c r="I39" s="95"/>
      <c r="J39" s="95"/>
    </row>
    <row r="40" customFormat="false" ht="66.75" hidden="false" customHeight="true" outlineLevel="0" collapsed="false">
      <c r="A40" s="95"/>
      <c r="B40" s="103" t="s">
        <v>470</v>
      </c>
      <c r="C40" s="106" t="n">
        <f aca="false">IF(NOT(ISNUMBER(C12)),"⚠ R_opt invalid — fix QL on main sheet first",IF(ISNUMBER(C21),IF(C21&gt;3,"⚠ n&gt;3: Use L-network + 50Ω LPF",1.181203*C22/C20),"⚠ n invalid"))</f>
        <v>3.85391735826692E-007</v>
      </c>
      <c r="D40" s="85" t="s">
        <v>67</v>
      </c>
      <c r="E40" s="95"/>
      <c r="F40" s="85" t="s">
        <v>471</v>
      </c>
      <c r="G40" s="95"/>
      <c r="H40" s="95"/>
      <c r="I40" s="95"/>
      <c r="J40" s="95"/>
    </row>
    <row r="41" customFormat="false" ht="15" hidden="false" customHeight="true" outlineLevel="0" collapsed="false">
      <c r="A41" s="95"/>
      <c r="B41" s="103" t="s">
        <v>472</v>
      </c>
      <c r="C41" s="106" t="n">
        <f aca="false">IF(ISNUMBER(C40),C40*1000000,C40)</f>
        <v>0.385391735826692</v>
      </c>
      <c r="D41" s="85" t="s">
        <v>70</v>
      </c>
      <c r="E41" s="85" t="str">
        <f aca="false">IFERROR(IF(ISNUMBER(C41),TEXT(10^INT(LOG10(ABS(C41)+1E-030))*CHOOSE(MATCH(C41/10^INT(LOG10(ABS(C41)+1E-030)),{0,1.048809,1.148913,1.249,1.396424,1.549193,1.697056,1.897367,2.097618,2.297825,2.545584,2.84605,3.146427,3.446738,3.746999,4.095119,4.495553,4.895917,5.344156,5.892368,6.493073,7.141428,7.842194,8.638287,9.539392},1),1,1.1,1.2,1.3,1.5,1.6,1.8,2,2.2,2.4,2.7,3,3.3,3.6,3.9,4.3,4.7,5.1,5.6,6.2,6.8,7.5,8.2,9.1,10),"0.##")&amp;" "&amp;D41,C41),"—")</f>
        <v>0 µH</v>
      </c>
      <c r="F41" s="95"/>
      <c r="G41" s="95"/>
      <c r="H41" s="95"/>
      <c r="I41" s="95"/>
      <c r="J41" s="95"/>
    </row>
    <row r="42" customFormat="false" ht="15" hidden="false" customHeight="true" outlineLevel="0" collapsed="false">
      <c r="A42" s="95"/>
      <c r="B42" s="95"/>
      <c r="C42" s="105"/>
      <c r="D42" s="95"/>
      <c r="E42" s="95"/>
      <c r="F42" s="95"/>
      <c r="G42" s="95"/>
      <c r="H42" s="95"/>
      <c r="I42" s="95"/>
      <c r="J42" s="95"/>
    </row>
    <row r="43" customFormat="false" ht="15" hidden="false" customHeight="true" outlineLevel="0" collapsed="false">
      <c r="A43" s="95"/>
      <c r="B43" s="85" t="s">
        <v>112</v>
      </c>
      <c r="C43" s="95"/>
      <c r="D43" s="95"/>
      <c r="E43" s="95"/>
      <c r="F43" s="95"/>
      <c r="G43" s="95"/>
      <c r="H43" s="95"/>
      <c r="I43" s="95"/>
      <c r="J43" s="95"/>
    </row>
    <row r="44" customFormat="false" ht="15" hidden="false" customHeight="true" outlineLevel="0" collapsed="false">
      <c r="A44" s="95"/>
      <c r="B44" s="99" t="s">
        <v>8</v>
      </c>
      <c r="C44" s="100" t="s">
        <v>9</v>
      </c>
      <c r="D44" s="101" t="s">
        <v>10</v>
      </c>
      <c r="E44" s="102"/>
      <c r="F44" s="101" t="s">
        <v>48</v>
      </c>
      <c r="G44" s="102"/>
      <c r="H44" s="102"/>
      <c r="I44" s="102"/>
      <c r="J44" s="95"/>
    </row>
    <row r="45" customFormat="false" ht="92.25" hidden="false" customHeight="true" outlineLevel="0" collapsed="false">
      <c r="A45" s="95"/>
      <c r="B45" s="103" t="s">
        <v>450</v>
      </c>
      <c r="C45" s="106" t="n">
        <f aca="false">-10*LOG10((1+(10^(0.1/10)-1)*(64*(2*C11/C19)^7-112*(2*C11/C19)^5+56*(2*C11/C19)^3-7*(2*C11/C19))^2)/(1+(10^(0.1/10)-1)*(64*(C11/C19)^7-112*(C11/C19)^5+56*(C11/C19)^3-7*(C11/C19))^2))</f>
        <v>-32.0640508287318</v>
      </c>
      <c r="D45" s="85" t="s">
        <v>155</v>
      </c>
      <c r="E45" s="85" t="str">
        <f aca="false">IF(C45&lt;-50,"✅ UPPER BOUND ≥−50 dBc (see I45 for worst-case)",IF(C45&lt;-43,"⚠ UPPER BOUND ≥−43 dBc (FCC only; see I45)","🚨 Fails FCC −43 dBc even as upper bound"))</f>
        <v>🚨 Fails FCC −43 dBc even as upper bound</v>
      </c>
      <c r="F45" s="85" t="str">
        <f aca="false">IF(C45&lt;-50,"✅ "&amp;TEXT(ABS(C45),"0.0")&amp;" dBc at 2f — meets IARU −50 dBc limit. Excellent 7-pole performance.",IF(C45&lt;-43,"⚠ "&amp;TEXT(ABS(C45),"0.0")&amp;" dBc — try fc=1.2×f for more stopband depth.","🚨 "&amp;TEXT(ABS(C45),"0.0")&amp;" dBc — reduce fc to 1.2×f."))</f>
        <v>🚨 32 dBc — reduce fc to 1.2×f.</v>
      </c>
      <c r="G45" s="95"/>
      <c r="H45" s="33" t="str">
        <f aca="false">IF(ABS(C21-1)&gt;0.05,"⚠ ASYMMETRIC FILTER — n=Z_load/R_opt="&amp;TEXT(C21,"0.00")&amp;"×. The Chebyshev attenuation formula below assumes equal source/load impedances. For asymmetric terminations: (a) passband insertion-loss error ≈"&amp;TEXT(ABS(10*LOG10((1+C21)^2/(4*C21))),"0.1")&amp;" dB; (b) stopband attenuation at 2f/3f can be 10–20 dB LOWER than calculated when n&gt;1.5. These C45/C46 values must be treated as UPPER BOUNDS only. Verify actual stopband depth with LTspice using R_opt as the source impedance.","✅ n≈1: near-symmetric — attenuation estimates reliable (error &lt;1 dB).")</f>
        <v>⚠ ASYMMETRIC FILTER — n=Z_load/R_opt=1,55×. The Chebyshev attenuation formula below assumes equal source/load impedances. For asymmetric terminations: (a) passband insertion-loss error ≈0 dB; (b) stopband attenuation at 2f/3f can be 10–20 dB LOWER than calculated when n&gt;1.5. These C45/C46 values must be treated as UPPER BOUNDS only. Verify actual stopband depth with LTspice using R_opt as the source impedance.</v>
      </c>
      <c r="I45" s="33" t="str">
        <f aca="false">IF(ABS(C21-1)&gt;0.05, "Lower-bound estimate (worst-case asymmetric): "&amp;TEXT(C45+20,"0.0")&amp;" dBc at 2f (up to 20 dB penalty for n="&amp;TEXT(C21,"0.00")&amp;"×). "&amp;IF(C45+20&lt;-50,"✅ Even worst-case meets IARU -50 dBc.",IF(C45+20&lt;-43,"⚠ Worst-case meets FCC -43 dBc only.","🚨 Worst-case may fail FCC -43 dBc.")), "— (n≈1, penalty small)")</f>
        <v>Lower-bound estimate (worst-case asymmetric): -12 dBc at 2f (up to 20 dB penalty for n=1,55×). 🚨 Worst-case may fail FCC -43 dBc.</v>
      </c>
      <c r="J45" s="95"/>
    </row>
    <row r="46" customFormat="false" ht="92.25" hidden="false" customHeight="true" outlineLevel="0" collapsed="false">
      <c r="A46" s="95"/>
      <c r="B46" s="103" t="s">
        <v>451</v>
      </c>
      <c r="C46" s="106" t="n">
        <f aca="false">-10*LOG10((1+(10^(0.1/10)-1)*(64*(3*C11/C19)^7-112*(3*C11/C19)^5+56*(3*C11/C19)^3-7*(3*C11/C19))^2)/(1+(10^(0.1/10)-1)*(64*(C11/C19)^7-112*(C11/C19)^5+56*(C11/C19)^3-7*(C11/C19))^2))</f>
        <v>-62.4728499132733</v>
      </c>
      <c r="D46" s="85" t="s">
        <v>155</v>
      </c>
      <c r="E46" s="85" t="str">
        <f aca="false">IF(C46&lt;-50,"✅ UPPER BOUND ≥−50 dBc at 3f (see I46)",IF(C46&lt;-43,"⚠ UPPER BOUND ≥−43 dBc FCC only (see I46)","🚨 Fails FCC −43 dBc at 3f (upper bound; see I46)"))</f>
        <v>✅ UPPER BOUND ≥−50 dBc at 3f (see I46)</v>
      </c>
      <c r="F46" s="85" t="str">
        <f aca="false">IF(C46&lt;-50,"✅ "&amp;TEXT(ABS(C46),"0.0")&amp;" dBc at 3f — meets IARU −50 dBc limit.",IF(C46&lt;-43,"⚠ "&amp;TEXT(ABS(C46),"0.0")&amp;" dBc at 3f — FCC limit only.","🚨 "&amp;TEXT(ABS(C46),"0.0")&amp;" dBc — reduce fc or increase poles."))</f>
        <v>✅ 62 dBc at 3f — meets IARU −50 dBc limit.</v>
      </c>
      <c r="G46" s="95"/>
      <c r="H46" s="33" t="str">
        <f aca="false">H45</f>
        <v>⚠ ASYMMETRIC FILTER — n=Z_load/R_opt=1,55×. The Chebyshev attenuation formula below assumes equal source/load impedances. For asymmetric terminations: (a) passband insertion-loss error ≈0 dB; (b) stopband attenuation at 2f/3f can be 10–20 dB LOWER than calculated when n&gt;1.5. These C45/C46 values must be treated as UPPER BOUNDS only. Verify actual stopband depth with LTspice using R_opt as the source impedance.</v>
      </c>
      <c r="I46" s="33" t="str">
        <f aca="false">IF(ABS(C21-1)&gt;0.05, "Lower-bound estimate (worst-case asymmetric): "&amp;TEXT(C46+20,"0.0")&amp;" dBc at 3f.", "—")</f>
        <v>Lower-bound estimate (worst-case asymmetric): -42 dBc at 3f.</v>
      </c>
      <c r="J46" s="95"/>
    </row>
    <row r="47" customFormat="false" ht="53.25" hidden="false" customHeight="true" outlineLevel="0" collapsed="false">
      <c r="A47" s="95"/>
      <c r="B47" s="103" t="s">
        <v>157</v>
      </c>
      <c r="C47" s="105"/>
      <c r="D47" s="95"/>
      <c r="E47" s="95"/>
      <c r="F47" s="85" t="str">
        <f aca="false">IF('Class-E Calculator'!C65&lt;0.1,"⚠ LPF SOURCE: No L-network present (C65&lt;0.1). LPF source = R_opt. Use this sheet for direct drain connection.","ℹ L-network is active (C65≥0.1). For best accuracy use the 5-pole or 7-pole 50Ω LPF on the main sheet instead of this direct-drain sheet.")</f>
        <v>ℹ L-network is active (C65≥0.1). For best accuracy use the 5-pole or 7-pole 50Ω LPF on the main sheet instead of this direct-drain sheet.</v>
      </c>
      <c r="G47" s="95"/>
      <c r="H47" s="95"/>
      <c r="I47" s="95"/>
      <c r="J47" s="95"/>
    </row>
    <row r="48" customFormat="false" ht="15" hidden="false" customHeight="true" outlineLevel="0" collapsed="false">
      <c r="A48" s="95"/>
      <c r="B48" s="95"/>
      <c r="C48" s="95"/>
      <c r="D48" s="95"/>
      <c r="E48" s="95"/>
      <c r="F48" s="95"/>
      <c r="G48" s="95"/>
      <c r="H48" s="95"/>
      <c r="I48" s="95"/>
      <c r="J48" s="9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57"/>
  <sheetViews>
    <sheetView showFormulas="false" showGridLines="true" showRowColHeaders="true" showZeros="true" rightToLeft="false" tabSelected="false" showOutlineSymbols="true" defaultGridColor="true" view="normal" topLeftCell="A1" colorId="64" zoomScale="200" zoomScaleNormal="200" zoomScalePageLayoutView="100" workbookViewId="0">
      <selection pane="topLeft" activeCell="F27" activeCellId="0" sqref="F27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53" width="2.55"/>
    <col collapsed="false" customWidth="true" hidden="false" outlineLevel="0" max="2" min="2" style="53" width="29.31"/>
    <col collapsed="false" customWidth="true" hidden="false" outlineLevel="0" max="3" min="3" style="53" width="35.7"/>
    <col collapsed="false" customWidth="true" hidden="false" outlineLevel="0" max="4" min="4" style="53" width="7.88"/>
    <col collapsed="false" customWidth="true" hidden="false" outlineLevel="0" max="5" min="5" style="53" width="5.66"/>
    <col collapsed="false" customWidth="true" hidden="false" outlineLevel="0" max="6" min="6" style="53" width="36"/>
    <col collapsed="false" customWidth="true" hidden="false" outlineLevel="0" max="7" min="7" style="53" width="3.42"/>
    <col collapsed="false" customWidth="true" hidden="false" outlineLevel="0" max="8" min="8" style="53" width="2.55"/>
  </cols>
  <sheetData>
    <row r="1" customFormat="false" ht="15" hidden="false" customHeight="true" outlineLevel="0" collapsed="false">
      <c r="A1" s="75"/>
      <c r="B1" s="75"/>
      <c r="C1" s="75"/>
      <c r="D1" s="75"/>
      <c r="E1" s="75"/>
      <c r="F1" s="75"/>
      <c r="G1" s="75"/>
      <c r="H1" s="75"/>
    </row>
    <row r="2" customFormat="false" ht="15.75" hidden="false" customHeight="true" outlineLevel="0" collapsed="false">
      <c r="A2" s="75"/>
      <c r="B2" s="107" t="s">
        <v>473</v>
      </c>
      <c r="C2" s="75"/>
      <c r="D2" s="75"/>
      <c r="E2" s="75"/>
      <c r="F2" s="75"/>
      <c r="G2" s="75"/>
      <c r="H2" s="75"/>
    </row>
    <row r="3" customFormat="false" ht="15" hidden="false" customHeight="true" outlineLevel="0" collapsed="false">
      <c r="A3" s="75"/>
      <c r="B3" s="108" t="s">
        <v>474</v>
      </c>
      <c r="C3" s="75"/>
      <c r="D3" s="75"/>
      <c r="E3" s="75"/>
      <c r="F3" s="75"/>
      <c r="G3" s="75"/>
      <c r="H3" s="75"/>
    </row>
    <row r="4" customFormat="false" ht="15" hidden="false" customHeight="true" outlineLevel="0" collapsed="false">
      <c r="A4" s="75"/>
      <c r="B4" s="109" t="s">
        <v>2</v>
      </c>
      <c r="C4" s="75"/>
      <c r="D4" s="75"/>
      <c r="E4" s="75"/>
      <c r="F4" s="75"/>
      <c r="G4" s="75"/>
      <c r="H4" s="75"/>
    </row>
    <row r="5" customFormat="false" ht="15" hidden="false" customHeight="true" outlineLevel="0" collapsed="false">
      <c r="A5" s="75"/>
      <c r="B5" s="110" t="s">
        <v>475</v>
      </c>
      <c r="C5" s="75"/>
      <c r="D5" s="75"/>
      <c r="E5" s="75"/>
      <c r="F5" s="75"/>
      <c r="G5" s="75"/>
      <c r="H5" s="75"/>
    </row>
    <row r="6" s="53" customFormat="true" ht="15" hidden="false" customHeight="true" outlineLevel="0" collapsed="false">
      <c r="A6" s="75"/>
      <c r="B6" s="111" t="s">
        <v>476</v>
      </c>
      <c r="C6" s="112"/>
      <c r="D6" s="112"/>
      <c r="E6" s="75"/>
      <c r="F6" s="75"/>
      <c r="G6" s="75"/>
      <c r="H6" s="75"/>
    </row>
    <row r="7" s="53" customFormat="true" ht="15" hidden="false" customHeight="true" outlineLevel="0" collapsed="false">
      <c r="A7" s="75"/>
      <c r="B7" s="111" t="s">
        <v>475</v>
      </c>
      <c r="C7" s="112"/>
      <c r="D7" s="112"/>
      <c r="E7" s="75"/>
      <c r="F7" s="75"/>
      <c r="G7" s="75"/>
      <c r="H7" s="75"/>
    </row>
    <row r="8" s="53" customFormat="true" ht="15" hidden="false" customHeight="true" outlineLevel="0" collapsed="false">
      <c r="A8" s="75"/>
      <c r="B8" s="111" t="s">
        <v>477</v>
      </c>
      <c r="C8" s="112"/>
      <c r="D8" s="112"/>
      <c r="E8" s="75"/>
      <c r="F8" s="75"/>
      <c r="G8" s="75"/>
      <c r="H8" s="75"/>
    </row>
    <row r="9" s="53" customFormat="true" ht="15" hidden="false" customHeight="true" outlineLevel="0" collapsed="false">
      <c r="A9" s="75"/>
      <c r="B9" s="111" t="s">
        <v>478</v>
      </c>
      <c r="C9" s="112"/>
      <c r="D9" s="112"/>
      <c r="E9" s="75"/>
      <c r="F9" s="75"/>
      <c r="G9" s="75"/>
      <c r="H9" s="75"/>
    </row>
    <row r="10" s="53" customFormat="true" ht="15" hidden="false" customHeight="true" outlineLevel="0" collapsed="false">
      <c r="A10" s="75"/>
      <c r="B10" s="111" t="s">
        <v>479</v>
      </c>
      <c r="C10" s="112"/>
      <c r="D10" s="112"/>
      <c r="E10" s="75"/>
      <c r="F10" s="75"/>
      <c r="G10" s="75"/>
      <c r="H10" s="75"/>
    </row>
    <row r="11" s="53" customFormat="true" ht="15" hidden="false" customHeight="true" outlineLevel="0" collapsed="false">
      <c r="A11" s="75"/>
      <c r="B11" s="111" t="s">
        <v>478</v>
      </c>
      <c r="C11" s="112"/>
      <c r="D11" s="112"/>
      <c r="E11" s="75"/>
      <c r="F11" s="75"/>
      <c r="G11" s="75"/>
      <c r="H11" s="75"/>
    </row>
    <row r="12" s="53" customFormat="true" ht="15" hidden="false" customHeight="true" outlineLevel="0" collapsed="false">
      <c r="A12" s="75"/>
      <c r="B12" s="111" t="s">
        <v>480</v>
      </c>
      <c r="C12" s="112"/>
      <c r="D12" s="112"/>
      <c r="E12" s="75"/>
      <c r="F12" s="75"/>
      <c r="G12" s="75"/>
      <c r="H12" s="75"/>
    </row>
    <row r="13" s="53" customFormat="true" ht="15" hidden="false" customHeight="true" outlineLevel="0" collapsed="false">
      <c r="A13" s="75"/>
      <c r="B13" s="111" t="s">
        <v>481</v>
      </c>
      <c r="C13" s="112"/>
      <c r="D13" s="112"/>
      <c r="E13" s="75"/>
      <c r="F13" s="75"/>
      <c r="G13" s="75"/>
      <c r="H13" s="75"/>
    </row>
    <row r="14" s="53" customFormat="true" ht="15" hidden="false" customHeight="true" outlineLevel="0" collapsed="false">
      <c r="A14" s="75"/>
      <c r="B14" s="111" t="s">
        <v>482</v>
      </c>
      <c r="C14" s="112"/>
      <c r="D14" s="112"/>
      <c r="E14" s="75"/>
      <c r="F14" s="75"/>
      <c r="G14" s="75"/>
      <c r="H14" s="75"/>
    </row>
    <row r="15" s="53" customFormat="true" ht="15" hidden="false" customHeight="true" outlineLevel="0" collapsed="false">
      <c r="A15" s="75"/>
      <c r="B15" s="111" t="s">
        <v>481</v>
      </c>
      <c r="C15" s="112"/>
      <c r="D15" s="112"/>
      <c r="E15" s="75"/>
      <c r="F15" s="75"/>
      <c r="G15" s="75"/>
      <c r="H15" s="75"/>
    </row>
    <row r="16" s="53" customFormat="true" ht="15" hidden="false" customHeight="true" outlineLevel="0" collapsed="false">
      <c r="A16" s="75"/>
      <c r="B16" s="111" t="s">
        <v>483</v>
      </c>
      <c r="C16" s="112"/>
      <c r="D16" s="112"/>
      <c r="E16" s="75"/>
      <c r="F16" s="75"/>
      <c r="G16" s="75"/>
      <c r="H16" s="75"/>
    </row>
    <row r="17" s="53" customFormat="true" ht="15" hidden="false" customHeight="true" outlineLevel="0" collapsed="false">
      <c r="A17" s="75"/>
      <c r="B17" s="111"/>
      <c r="C17" s="112"/>
      <c r="D17" s="112"/>
      <c r="E17" s="75"/>
      <c r="F17" s="75"/>
      <c r="G17" s="75"/>
      <c r="H17" s="75"/>
    </row>
    <row r="18" s="53" customFormat="true" ht="15" hidden="false" customHeight="true" outlineLevel="0" collapsed="false">
      <c r="A18" s="75"/>
      <c r="B18" s="111"/>
      <c r="C18" s="112"/>
      <c r="D18" s="112"/>
      <c r="E18" s="75"/>
      <c r="F18" s="75"/>
      <c r="G18" s="75"/>
      <c r="H18" s="75"/>
    </row>
    <row r="19" s="53" customFormat="true" ht="15" hidden="false" customHeight="true" outlineLevel="0" collapsed="false">
      <c r="A19" s="75"/>
      <c r="B19" s="111" t="s">
        <v>484</v>
      </c>
      <c r="C19" s="112"/>
      <c r="D19" s="112"/>
      <c r="E19" s="75"/>
      <c r="F19" s="75"/>
      <c r="G19" s="75"/>
      <c r="H19" s="75"/>
    </row>
    <row r="20" s="53" customFormat="true" ht="15" hidden="false" customHeight="true" outlineLevel="0" collapsed="false">
      <c r="A20" s="75"/>
      <c r="B20" s="111" t="s">
        <v>485</v>
      </c>
      <c r="C20" s="112"/>
      <c r="D20" s="112"/>
      <c r="E20" s="75"/>
      <c r="F20" s="75"/>
      <c r="G20" s="75"/>
      <c r="H20" s="75"/>
    </row>
    <row r="21" s="53" customFormat="true" ht="15" hidden="false" customHeight="true" outlineLevel="0" collapsed="false">
      <c r="A21" s="75"/>
      <c r="B21" s="111" t="s">
        <v>486</v>
      </c>
      <c r="C21" s="112"/>
      <c r="D21" s="112"/>
      <c r="E21" s="75"/>
      <c r="F21" s="75"/>
      <c r="G21" s="75"/>
      <c r="H21" s="75"/>
    </row>
    <row r="22" s="53" customFormat="true" ht="15" hidden="false" customHeight="true" outlineLevel="0" collapsed="false">
      <c r="A22" s="75"/>
      <c r="B22" s="111" t="s">
        <v>487</v>
      </c>
      <c r="C22" s="112"/>
      <c r="D22" s="112"/>
      <c r="E22" s="75"/>
      <c r="F22" s="75"/>
      <c r="G22" s="75"/>
      <c r="H22" s="75"/>
    </row>
    <row r="23" s="53" customFormat="true" ht="15" hidden="false" customHeight="true" outlineLevel="0" collapsed="false">
      <c r="A23" s="75"/>
      <c r="B23" s="111" t="s">
        <v>488</v>
      </c>
      <c r="C23" s="112"/>
      <c r="D23" s="112"/>
      <c r="E23" s="75"/>
      <c r="F23" s="75"/>
      <c r="G23" s="75"/>
      <c r="H23" s="75"/>
    </row>
    <row r="24" s="53" customFormat="true" ht="15" hidden="false" customHeight="true" outlineLevel="0" collapsed="false">
      <c r="A24" s="75"/>
      <c r="B24" s="111" t="s">
        <v>489</v>
      </c>
      <c r="C24" s="112"/>
      <c r="D24" s="112"/>
      <c r="E24" s="75"/>
      <c r="F24" s="75"/>
      <c r="G24" s="75"/>
      <c r="H24" s="75"/>
    </row>
    <row r="25" s="53" customFormat="true" ht="15" hidden="false" customHeight="true" outlineLevel="0" collapsed="false">
      <c r="A25" s="75"/>
      <c r="B25" s="111" t="s">
        <v>490</v>
      </c>
      <c r="C25" s="112"/>
      <c r="D25" s="112"/>
      <c r="E25" s="75"/>
      <c r="F25" s="75"/>
      <c r="G25" s="75"/>
      <c r="H25" s="75"/>
    </row>
    <row r="26" s="53" customFormat="true" ht="15" hidden="false" customHeight="true" outlineLevel="0" collapsed="false">
      <c r="A26" s="75"/>
      <c r="B26" s="111" t="s">
        <v>491</v>
      </c>
      <c r="C26" s="112"/>
      <c r="D26" s="112"/>
      <c r="E26" s="75"/>
      <c r="F26" s="75"/>
      <c r="G26" s="75"/>
      <c r="H26" s="75"/>
    </row>
    <row r="27" customFormat="false" ht="15" hidden="false" customHeight="true" outlineLevel="0" collapsed="false">
      <c r="A27" s="75"/>
      <c r="B27" s="110" t="s">
        <v>475</v>
      </c>
      <c r="C27" s="75"/>
      <c r="D27" s="75"/>
      <c r="E27" s="75"/>
      <c r="F27" s="75"/>
      <c r="G27" s="75"/>
      <c r="H27" s="75"/>
    </row>
    <row r="28" customFormat="false" ht="15" hidden="false" customHeight="true" outlineLevel="0" collapsed="false">
      <c r="A28" s="95"/>
      <c r="B28" s="113" t="s">
        <v>492</v>
      </c>
      <c r="C28" s="95"/>
      <c r="D28" s="95"/>
      <c r="E28" s="95"/>
      <c r="F28" s="95"/>
      <c r="G28" s="75"/>
      <c r="H28" s="75"/>
    </row>
    <row r="29" customFormat="false" ht="15" hidden="false" customHeight="true" outlineLevel="0" collapsed="false">
      <c r="A29" s="95"/>
      <c r="B29" s="113" t="s">
        <v>493</v>
      </c>
      <c r="C29" s="95"/>
      <c r="D29" s="95"/>
      <c r="E29" s="95"/>
      <c r="F29" s="95"/>
      <c r="G29" s="75"/>
      <c r="H29" s="75"/>
    </row>
    <row r="30" customFormat="false" ht="15" hidden="false" customHeight="true" outlineLevel="0" collapsed="false">
      <c r="A30" s="95"/>
      <c r="B30" s="113" t="s">
        <v>494</v>
      </c>
      <c r="C30" s="95"/>
      <c r="D30" s="95"/>
      <c r="E30" s="95"/>
      <c r="F30" s="95"/>
      <c r="G30" s="75"/>
      <c r="H30" s="75"/>
    </row>
    <row r="31" customFormat="false" ht="15" hidden="false" customHeight="true" outlineLevel="0" collapsed="false">
      <c r="A31" s="95"/>
      <c r="B31" s="113" t="s">
        <v>495</v>
      </c>
      <c r="C31" s="95"/>
      <c r="D31" s="95"/>
      <c r="E31" s="95"/>
      <c r="F31" s="95"/>
      <c r="G31" s="75"/>
      <c r="H31" s="75"/>
    </row>
    <row r="32" customFormat="false" ht="15" hidden="false" customHeight="true" outlineLevel="0" collapsed="false">
      <c r="A32" s="95"/>
      <c r="B32" s="113" t="s">
        <v>496</v>
      </c>
      <c r="C32" s="95"/>
      <c r="D32" s="95"/>
      <c r="E32" s="95"/>
      <c r="F32" s="95"/>
      <c r="G32" s="75"/>
      <c r="H32" s="75"/>
    </row>
    <row r="33" customFormat="false" ht="15" hidden="false" customHeight="true" outlineLevel="0" collapsed="false">
      <c r="A33" s="95"/>
      <c r="B33" s="113" t="s">
        <v>497</v>
      </c>
      <c r="C33" s="95"/>
      <c r="D33" s="95"/>
      <c r="E33" s="95"/>
      <c r="F33" s="95"/>
      <c r="G33" s="75"/>
      <c r="H33" s="75"/>
    </row>
    <row r="34" customFormat="false" ht="15" hidden="false" customHeight="true" outlineLevel="0" collapsed="false">
      <c r="A34" s="95"/>
      <c r="B34" s="113" t="s">
        <v>498</v>
      </c>
      <c r="C34" s="95"/>
      <c r="D34" s="95"/>
      <c r="E34" s="95"/>
      <c r="F34" s="95"/>
      <c r="G34" s="75"/>
      <c r="H34" s="75"/>
    </row>
    <row r="35" customFormat="false" ht="15" hidden="false" customHeight="true" outlineLevel="0" collapsed="false">
      <c r="A35" s="95"/>
      <c r="B35" s="113" t="s">
        <v>499</v>
      </c>
      <c r="C35" s="95"/>
      <c r="D35" s="95"/>
      <c r="E35" s="95"/>
      <c r="F35" s="95"/>
      <c r="G35" s="75"/>
      <c r="H35" s="75"/>
    </row>
    <row r="36" customFormat="false" ht="15" hidden="false" customHeight="true" outlineLevel="0" collapsed="false">
      <c r="A36" s="95"/>
      <c r="B36" s="95"/>
      <c r="C36" s="95"/>
      <c r="D36" s="95"/>
      <c r="E36" s="95"/>
      <c r="F36" s="95"/>
      <c r="G36" s="75"/>
      <c r="H36" s="75"/>
    </row>
    <row r="37" customFormat="false" ht="15" hidden="false" customHeight="true" outlineLevel="0" collapsed="false">
      <c r="A37" s="95"/>
      <c r="B37" s="114" t="s">
        <v>500</v>
      </c>
      <c r="C37" s="115"/>
      <c r="D37" s="115"/>
      <c r="E37" s="115"/>
      <c r="F37" s="115"/>
      <c r="G37" s="75"/>
      <c r="H37" s="75"/>
    </row>
    <row r="38" customFormat="false" ht="15" hidden="false" customHeight="true" outlineLevel="0" collapsed="false">
      <c r="A38" s="95"/>
      <c r="B38" s="116" t="s">
        <v>501</v>
      </c>
      <c r="C38" s="116" t="s">
        <v>502</v>
      </c>
      <c r="D38" s="116" t="s">
        <v>60</v>
      </c>
      <c r="E38" s="116" t="s">
        <v>10</v>
      </c>
      <c r="F38" s="116" t="s">
        <v>503</v>
      </c>
      <c r="G38" s="63"/>
      <c r="H38" s="75"/>
    </row>
    <row r="39" customFormat="false" ht="15" hidden="false" customHeight="true" outlineLevel="0" collapsed="false">
      <c r="A39" s="95"/>
      <c r="B39" s="114" t="s">
        <v>504</v>
      </c>
      <c r="C39" s="117" t="s">
        <v>505</v>
      </c>
      <c r="D39" s="118" t="str">
        <f aca="false">'Class-E Calculator'!E55</f>
        <v>018 µH</v>
      </c>
      <c r="E39" s="117" t="s">
        <v>70</v>
      </c>
      <c r="F39" s="117" t="s">
        <v>506</v>
      </c>
      <c r="G39" s="75"/>
      <c r="H39" s="75"/>
    </row>
    <row r="40" customFormat="false" ht="15" hidden="false" customHeight="true" outlineLevel="0" collapsed="false">
      <c r="A40" s="95"/>
      <c r="B40" s="114" t="s">
        <v>507</v>
      </c>
      <c r="C40" s="117" t="s">
        <v>508</v>
      </c>
      <c r="D40" s="118" t="str">
        <f aca="false">'Class-E Calculator'!E49</f>
        <v>075 pF</v>
      </c>
      <c r="E40" s="117" t="s">
        <v>30</v>
      </c>
      <c r="F40" s="117" t="s">
        <v>509</v>
      </c>
      <c r="G40" s="75"/>
      <c r="H40" s="75"/>
    </row>
    <row r="41" customFormat="false" ht="15" hidden="false" customHeight="true" outlineLevel="0" collapsed="false">
      <c r="A41" s="95"/>
      <c r="B41" s="114" t="s">
        <v>510</v>
      </c>
      <c r="C41" s="117" t="s">
        <v>511</v>
      </c>
      <c r="D41" s="118" t="str">
        <f aca="false">'Class-E Calculator'!E51</f>
        <v>02 µH</v>
      </c>
      <c r="E41" s="117" t="s">
        <v>70</v>
      </c>
      <c r="F41" s="117" t="s">
        <v>512</v>
      </c>
      <c r="G41" s="75"/>
      <c r="H41" s="75"/>
    </row>
    <row r="42" customFormat="false" ht="15" hidden="false" customHeight="true" outlineLevel="0" collapsed="false">
      <c r="A42" s="95"/>
      <c r="B42" s="114" t="s">
        <v>513</v>
      </c>
      <c r="C42" s="117" t="s">
        <v>514</v>
      </c>
      <c r="D42" s="118" t="str">
        <f aca="false">'Class-E Calculator'!E53</f>
        <v>091 pF</v>
      </c>
      <c r="E42" s="117" t="s">
        <v>30</v>
      </c>
      <c r="F42" s="117" t="s">
        <v>515</v>
      </c>
      <c r="G42" s="75"/>
      <c r="H42" s="75"/>
    </row>
    <row r="43" customFormat="false" ht="15" hidden="false" customHeight="true" outlineLevel="0" collapsed="false">
      <c r="A43" s="95"/>
      <c r="B43" s="114" t="s">
        <v>516</v>
      </c>
      <c r="C43" s="117" t="s">
        <v>517</v>
      </c>
      <c r="D43" s="118" t="str">
        <f aca="false">'LPF Direct 5-poles'!E29</f>
        <v>0 µH</v>
      </c>
      <c r="E43" s="117" t="s">
        <v>70</v>
      </c>
      <c r="F43" s="117" t="s">
        <v>518</v>
      </c>
      <c r="G43" s="75"/>
      <c r="H43" s="75"/>
    </row>
    <row r="44" customFormat="false" ht="15" hidden="false" customHeight="true" outlineLevel="0" collapsed="false">
      <c r="A44" s="95"/>
      <c r="B44" s="114" t="s">
        <v>519</v>
      </c>
      <c r="C44" s="117" t="s">
        <v>520</v>
      </c>
      <c r="D44" s="118" t="str">
        <f aca="false">'LPF Direct 5-poles'!E31</f>
        <v>360 pF</v>
      </c>
      <c r="E44" s="117" t="s">
        <v>30</v>
      </c>
      <c r="F44" s="117" t="s">
        <v>521</v>
      </c>
      <c r="G44" s="75"/>
      <c r="H44" s="75"/>
    </row>
    <row r="45" customFormat="false" ht="15" hidden="false" customHeight="true" outlineLevel="0" collapsed="false">
      <c r="A45" s="95"/>
      <c r="B45" s="114" t="s">
        <v>522</v>
      </c>
      <c r="C45" s="117" t="s">
        <v>523</v>
      </c>
      <c r="D45" s="118" t="str">
        <f aca="false">'LPF Direct 5-poles'!E33</f>
        <v>01 µH</v>
      </c>
      <c r="E45" s="117" t="s">
        <v>70</v>
      </c>
      <c r="F45" s="117" t="s">
        <v>524</v>
      </c>
      <c r="G45" s="75"/>
      <c r="H45" s="75"/>
    </row>
    <row r="46" customFormat="false" ht="15" hidden="false" customHeight="true" outlineLevel="0" collapsed="false">
      <c r="A46" s="95"/>
      <c r="B46" s="114" t="s">
        <v>525</v>
      </c>
      <c r="C46" s="117" t="s">
        <v>526</v>
      </c>
      <c r="D46" s="118" t="str">
        <f aca="false">'LPF Direct 5-poles'!E35</f>
        <v>220 pF</v>
      </c>
      <c r="E46" s="117" t="s">
        <v>30</v>
      </c>
      <c r="F46" s="117" t="s">
        <v>527</v>
      </c>
      <c r="G46" s="75"/>
      <c r="H46" s="75"/>
    </row>
    <row r="47" customFormat="false" ht="15" hidden="false" customHeight="true" outlineLevel="0" collapsed="false">
      <c r="A47" s="95"/>
      <c r="B47" s="114" t="s">
        <v>528</v>
      </c>
      <c r="C47" s="117" t="s">
        <v>529</v>
      </c>
      <c r="D47" s="118" t="str">
        <f aca="false">'LPF Direct 5-poles'!E37</f>
        <v>0 µH</v>
      </c>
      <c r="E47" s="117" t="s">
        <v>70</v>
      </c>
      <c r="F47" s="117" t="s">
        <v>530</v>
      </c>
      <c r="G47" s="75"/>
      <c r="H47" s="75"/>
    </row>
    <row r="48" customFormat="false" ht="15" hidden="false" customHeight="true" outlineLevel="0" collapsed="false">
      <c r="A48" s="95"/>
      <c r="B48" s="115"/>
      <c r="C48" s="115"/>
      <c r="D48" s="115"/>
      <c r="E48" s="115"/>
      <c r="F48" s="115"/>
      <c r="G48" s="75"/>
      <c r="H48" s="75"/>
    </row>
    <row r="49" customFormat="false" ht="15" hidden="false" customHeight="true" outlineLevel="0" collapsed="false">
      <c r="A49" s="95"/>
      <c r="B49" s="114" t="s">
        <v>531</v>
      </c>
      <c r="C49" s="115"/>
      <c r="D49" s="115"/>
      <c r="E49" s="115"/>
      <c r="F49" s="115"/>
      <c r="G49" s="75"/>
      <c r="H49" s="75"/>
    </row>
    <row r="50" customFormat="false" ht="15" hidden="false" customHeight="true" outlineLevel="0" collapsed="false">
      <c r="A50" s="95"/>
      <c r="B50" s="114" t="s">
        <v>186</v>
      </c>
      <c r="C50" s="118" t="n">
        <f aca="false">'Class-E Calculator'!C18</f>
        <v>14</v>
      </c>
      <c r="D50" s="117" t="s">
        <v>16</v>
      </c>
      <c r="E50" s="115"/>
      <c r="F50" s="115"/>
      <c r="G50" s="75"/>
      <c r="H50" s="75"/>
    </row>
    <row r="51" customFormat="false" ht="15" hidden="false" customHeight="true" outlineLevel="0" collapsed="false">
      <c r="A51" s="95"/>
      <c r="B51" s="114" t="s">
        <v>532</v>
      </c>
      <c r="C51" s="119" t="n">
        <f aca="false">'Class-E Calculator'!C42</f>
        <v>32.289222500631</v>
      </c>
      <c r="D51" s="117" t="s">
        <v>22</v>
      </c>
      <c r="E51" s="115"/>
      <c r="F51" s="115"/>
      <c r="G51" s="75"/>
      <c r="H51" s="75"/>
    </row>
    <row r="52" customFormat="false" ht="15" hidden="false" customHeight="true" outlineLevel="0" collapsed="false">
      <c r="A52" s="95"/>
      <c r="B52" s="114" t="s">
        <v>533</v>
      </c>
      <c r="C52" s="118" t="n">
        <f aca="false">'Class-E Calculator'!C16</f>
        <v>5</v>
      </c>
      <c r="D52" s="117" t="s">
        <v>12</v>
      </c>
      <c r="E52" s="115"/>
      <c r="F52" s="115"/>
      <c r="G52" s="75"/>
      <c r="H52" s="75"/>
    </row>
    <row r="53" customFormat="false" ht="15" hidden="false" customHeight="true" outlineLevel="0" collapsed="false">
      <c r="A53" s="95"/>
      <c r="B53" s="114" t="s">
        <v>534</v>
      </c>
      <c r="C53" s="118" t="n">
        <f aca="false">'Class-E Calculator'!C17</f>
        <v>0.4</v>
      </c>
      <c r="D53" s="117" t="s">
        <v>14</v>
      </c>
      <c r="E53" s="115"/>
      <c r="F53" s="115"/>
      <c r="G53" s="75"/>
      <c r="H53" s="75"/>
    </row>
    <row r="54" customFormat="false" ht="15" hidden="false" customHeight="true" outlineLevel="0" collapsed="false">
      <c r="A54" s="95"/>
      <c r="B54" s="114" t="s">
        <v>535</v>
      </c>
      <c r="C54" s="118" t="n">
        <f aca="false">'LPF Direct 5-poles'!C19</f>
        <v>19.6</v>
      </c>
      <c r="D54" s="117" t="s">
        <v>16</v>
      </c>
      <c r="E54" s="115"/>
      <c r="F54" s="115"/>
      <c r="G54" s="75"/>
      <c r="H54" s="75"/>
    </row>
    <row r="55" customFormat="false" ht="15" hidden="false" customHeight="true" outlineLevel="0" collapsed="false">
      <c r="A55" s="95"/>
      <c r="B55" s="114" t="s">
        <v>536</v>
      </c>
      <c r="C55" s="119" t="n">
        <f aca="false">'LPF Direct 5-poles'!C41</f>
        <v>-16.5874077706108</v>
      </c>
      <c r="D55" s="117" t="s">
        <v>155</v>
      </c>
      <c r="E55" s="115"/>
      <c r="F55" s="115"/>
      <c r="G55" s="75"/>
      <c r="H55" s="75"/>
    </row>
    <row r="56" customFormat="false" ht="15" hidden="false" customHeight="true" outlineLevel="0" collapsed="false">
      <c r="A56" s="95"/>
      <c r="B56" s="114" t="s">
        <v>537</v>
      </c>
      <c r="C56" s="119" t="n">
        <f aca="false">'LPF Direct 5-poles'!C42</f>
        <v>-38.2143276045362</v>
      </c>
      <c r="D56" s="117" t="s">
        <v>155</v>
      </c>
      <c r="E56" s="115"/>
      <c r="F56" s="115"/>
      <c r="G56" s="75"/>
      <c r="H56" s="75"/>
    </row>
    <row r="57" customFormat="false" ht="15" hidden="false" customHeight="true" outlineLevel="0" collapsed="false">
      <c r="A57" s="75"/>
      <c r="B57" s="75"/>
      <c r="C57" s="75"/>
      <c r="D57" s="75"/>
      <c r="E57" s="75"/>
      <c r="F57" s="75"/>
      <c r="G57" s="75"/>
      <c r="H57" s="7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61"/>
  <sheetViews>
    <sheetView showFormulas="false" showGridLines="true" showRowColHeaders="true" showZeros="true" rightToLeft="false" tabSelected="false" showOutlineSymbols="true" defaultGridColor="true" view="normal" topLeftCell="A1" colorId="64" zoomScale="200" zoomScaleNormal="200" zoomScalePageLayoutView="100" workbookViewId="0">
      <selection pane="topLeft" activeCell="C24" activeCellId="0" sqref="C24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53" width="2.55"/>
    <col collapsed="false" customWidth="true" hidden="false" outlineLevel="0" max="2" min="2" style="53" width="29.66"/>
    <col collapsed="false" customWidth="true" hidden="false" outlineLevel="0" max="3" min="3" style="53" width="33.94"/>
    <col collapsed="false" customWidth="true" hidden="false" outlineLevel="0" max="5" min="4" style="53" width="10"/>
    <col collapsed="false" customWidth="true" hidden="false" outlineLevel="0" max="6" min="6" style="53" width="36"/>
    <col collapsed="false" customWidth="true" hidden="false" outlineLevel="0" max="7" min="7" style="53" width="3.89"/>
    <col collapsed="false" customWidth="true" hidden="false" outlineLevel="0" max="8" min="8" style="53" width="2.55"/>
  </cols>
  <sheetData>
    <row r="1" customFormat="false" ht="15" hidden="false" customHeight="true" outlineLevel="0" collapsed="false">
      <c r="A1" s="75"/>
      <c r="B1" s="75"/>
      <c r="C1" s="75"/>
      <c r="D1" s="75"/>
      <c r="E1" s="75"/>
      <c r="F1" s="75"/>
      <c r="G1" s="75"/>
      <c r="H1" s="75"/>
    </row>
    <row r="2" customFormat="false" ht="15.75" hidden="false" customHeight="true" outlineLevel="0" collapsed="false">
      <c r="A2" s="75"/>
      <c r="B2" s="107" t="s">
        <v>538</v>
      </c>
      <c r="C2" s="75"/>
      <c r="D2" s="75"/>
      <c r="E2" s="75"/>
      <c r="F2" s="75"/>
      <c r="G2" s="75"/>
      <c r="H2" s="75"/>
    </row>
    <row r="3" customFormat="false" ht="15" hidden="false" customHeight="true" outlineLevel="0" collapsed="false">
      <c r="A3" s="75"/>
      <c r="B3" s="108" t="s">
        <v>539</v>
      </c>
      <c r="C3" s="75"/>
      <c r="D3" s="75"/>
      <c r="E3" s="75"/>
      <c r="F3" s="75"/>
      <c r="G3" s="75"/>
      <c r="H3" s="75"/>
    </row>
    <row r="4" customFormat="false" ht="15" hidden="false" customHeight="true" outlineLevel="0" collapsed="false">
      <c r="A4" s="75"/>
      <c r="B4" s="109" t="s">
        <v>2</v>
      </c>
      <c r="C4" s="75"/>
      <c r="D4" s="75"/>
      <c r="E4" s="75"/>
      <c r="F4" s="75"/>
      <c r="G4" s="75"/>
      <c r="H4" s="75"/>
    </row>
    <row r="5" customFormat="false" ht="15" hidden="false" customHeight="true" outlineLevel="0" collapsed="false">
      <c r="A5" s="75"/>
      <c r="B5" s="75"/>
      <c r="C5" s="75"/>
      <c r="D5" s="75"/>
      <c r="E5" s="75"/>
      <c r="F5" s="75"/>
      <c r="G5" s="75"/>
      <c r="H5" s="75"/>
    </row>
    <row r="6" s="53" customFormat="true" ht="15" hidden="false" customHeight="true" outlineLevel="0" collapsed="false">
      <c r="A6" s="75"/>
      <c r="B6" s="111" t="s">
        <v>476</v>
      </c>
      <c r="C6" s="112"/>
      <c r="D6" s="112"/>
      <c r="E6" s="75"/>
      <c r="F6" s="75"/>
      <c r="G6" s="75"/>
      <c r="H6" s="75"/>
    </row>
    <row r="7" s="53" customFormat="true" ht="15" hidden="false" customHeight="true" outlineLevel="0" collapsed="false">
      <c r="A7" s="75"/>
      <c r="B7" s="111" t="s">
        <v>475</v>
      </c>
      <c r="C7" s="112"/>
      <c r="D7" s="112"/>
      <c r="E7" s="75"/>
      <c r="F7" s="75"/>
      <c r="G7" s="75"/>
      <c r="H7" s="75"/>
    </row>
    <row r="8" s="53" customFormat="true" ht="15" hidden="false" customHeight="true" outlineLevel="0" collapsed="false">
      <c r="A8" s="75"/>
      <c r="B8" s="111" t="s">
        <v>477</v>
      </c>
      <c r="C8" s="112"/>
      <c r="D8" s="112"/>
      <c r="E8" s="75"/>
      <c r="F8" s="75"/>
      <c r="G8" s="75"/>
      <c r="H8" s="75"/>
    </row>
    <row r="9" s="53" customFormat="true" ht="15" hidden="false" customHeight="true" outlineLevel="0" collapsed="false">
      <c r="A9" s="75"/>
      <c r="B9" s="111" t="s">
        <v>478</v>
      </c>
      <c r="C9" s="112"/>
      <c r="D9" s="112"/>
      <c r="E9" s="75"/>
      <c r="F9" s="75"/>
      <c r="G9" s="75"/>
      <c r="H9" s="75"/>
    </row>
    <row r="10" s="53" customFormat="true" ht="15" hidden="false" customHeight="true" outlineLevel="0" collapsed="false">
      <c r="A10" s="75"/>
      <c r="B10" s="111" t="s">
        <v>479</v>
      </c>
      <c r="C10" s="112"/>
      <c r="D10" s="112"/>
      <c r="E10" s="75"/>
      <c r="F10" s="75"/>
      <c r="G10" s="75"/>
      <c r="H10" s="75"/>
    </row>
    <row r="11" s="53" customFormat="true" ht="15" hidden="false" customHeight="true" outlineLevel="0" collapsed="false">
      <c r="A11" s="75"/>
      <c r="B11" s="111" t="s">
        <v>478</v>
      </c>
      <c r="C11" s="112"/>
      <c r="D11" s="112"/>
      <c r="E11" s="75"/>
      <c r="F11" s="75"/>
      <c r="G11" s="75"/>
      <c r="H11" s="75"/>
    </row>
    <row r="12" s="53" customFormat="true" ht="15" hidden="false" customHeight="true" outlineLevel="0" collapsed="false">
      <c r="A12" s="75"/>
      <c r="B12" s="111" t="s">
        <v>480</v>
      </c>
      <c r="C12" s="112"/>
      <c r="D12" s="112"/>
      <c r="E12" s="75"/>
      <c r="F12" s="75"/>
      <c r="G12" s="75"/>
      <c r="H12" s="75"/>
    </row>
    <row r="13" s="53" customFormat="true" ht="15" hidden="false" customHeight="true" outlineLevel="0" collapsed="false">
      <c r="A13" s="75"/>
      <c r="B13" s="111" t="s">
        <v>481</v>
      </c>
      <c r="C13" s="112"/>
      <c r="D13" s="112"/>
      <c r="E13" s="75"/>
      <c r="F13" s="75"/>
      <c r="G13" s="75"/>
      <c r="H13" s="75"/>
    </row>
    <row r="14" s="53" customFormat="true" ht="15" hidden="false" customHeight="true" outlineLevel="0" collapsed="false">
      <c r="A14" s="75"/>
      <c r="B14" s="111" t="s">
        <v>482</v>
      </c>
      <c r="C14" s="112"/>
      <c r="D14" s="112"/>
      <c r="E14" s="75"/>
      <c r="F14" s="75"/>
      <c r="G14" s="75"/>
      <c r="H14" s="75"/>
    </row>
    <row r="15" s="53" customFormat="true" ht="15" hidden="false" customHeight="true" outlineLevel="0" collapsed="false">
      <c r="A15" s="75"/>
      <c r="B15" s="111" t="s">
        <v>481</v>
      </c>
      <c r="C15" s="112"/>
      <c r="D15" s="112"/>
      <c r="E15" s="75"/>
      <c r="F15" s="75"/>
      <c r="G15" s="75"/>
      <c r="H15" s="75"/>
    </row>
    <row r="16" s="53" customFormat="true" ht="15" hidden="false" customHeight="true" outlineLevel="0" collapsed="false">
      <c r="A16" s="75"/>
      <c r="B16" s="111" t="s">
        <v>483</v>
      </c>
      <c r="C16" s="112"/>
      <c r="D16" s="112"/>
      <c r="E16" s="75"/>
      <c r="F16" s="75"/>
      <c r="G16" s="75"/>
      <c r="H16" s="75"/>
    </row>
    <row r="17" s="53" customFormat="true" ht="15" hidden="false" customHeight="true" outlineLevel="0" collapsed="false">
      <c r="A17" s="75"/>
      <c r="B17" s="111"/>
      <c r="C17" s="112"/>
      <c r="D17" s="112"/>
      <c r="E17" s="75"/>
      <c r="F17" s="75"/>
      <c r="G17" s="75"/>
      <c r="H17" s="75"/>
    </row>
    <row r="18" s="53" customFormat="true" ht="15" hidden="false" customHeight="true" outlineLevel="0" collapsed="false">
      <c r="A18" s="75"/>
      <c r="B18" s="111"/>
      <c r="C18" s="112"/>
      <c r="D18" s="112"/>
      <c r="E18" s="75"/>
      <c r="F18" s="75"/>
      <c r="G18" s="75"/>
      <c r="H18" s="75"/>
    </row>
    <row r="19" s="53" customFormat="true" ht="15" hidden="false" customHeight="true" outlineLevel="0" collapsed="false">
      <c r="A19" s="75"/>
      <c r="B19" s="111" t="s">
        <v>540</v>
      </c>
      <c r="C19" s="112"/>
      <c r="D19" s="112"/>
      <c r="E19" s="75"/>
      <c r="F19" s="75"/>
      <c r="G19" s="75"/>
      <c r="H19" s="75"/>
    </row>
    <row r="20" s="53" customFormat="true" ht="15" hidden="false" customHeight="true" outlineLevel="0" collapsed="false">
      <c r="A20" s="75"/>
      <c r="B20" s="111" t="s">
        <v>541</v>
      </c>
      <c r="C20" s="112"/>
      <c r="D20" s="112"/>
      <c r="E20" s="75"/>
      <c r="F20" s="75"/>
      <c r="G20" s="75"/>
      <c r="H20" s="75"/>
    </row>
    <row r="21" s="53" customFormat="true" ht="15" hidden="false" customHeight="true" outlineLevel="0" collapsed="false">
      <c r="A21" s="75"/>
      <c r="B21" s="111" t="s">
        <v>542</v>
      </c>
      <c r="C21" s="112"/>
      <c r="D21" s="112"/>
      <c r="E21" s="75"/>
      <c r="F21" s="75"/>
      <c r="G21" s="75"/>
      <c r="H21" s="75"/>
    </row>
    <row r="22" s="53" customFormat="true" ht="15" hidden="false" customHeight="true" outlineLevel="0" collapsed="false">
      <c r="A22" s="75"/>
      <c r="B22" s="111" t="s">
        <v>543</v>
      </c>
      <c r="C22" s="112"/>
      <c r="D22" s="112"/>
      <c r="E22" s="75"/>
      <c r="F22" s="75"/>
      <c r="G22" s="75"/>
      <c r="H22" s="75"/>
    </row>
    <row r="23" s="53" customFormat="true" ht="15" hidden="false" customHeight="true" outlineLevel="0" collapsed="false">
      <c r="A23" s="75"/>
      <c r="B23" s="111" t="s">
        <v>544</v>
      </c>
      <c r="C23" s="112"/>
      <c r="D23" s="112"/>
      <c r="E23" s="75"/>
      <c r="F23" s="75"/>
      <c r="G23" s="75"/>
      <c r="H23" s="75"/>
    </row>
    <row r="24" s="53" customFormat="true" ht="15" hidden="false" customHeight="true" outlineLevel="0" collapsed="false">
      <c r="A24" s="75"/>
      <c r="B24" s="111" t="s">
        <v>545</v>
      </c>
      <c r="C24" s="112"/>
      <c r="D24" s="112"/>
      <c r="E24" s="75"/>
      <c r="F24" s="75"/>
      <c r="G24" s="75"/>
      <c r="H24" s="75"/>
    </row>
    <row r="25" s="53" customFormat="true" ht="15" hidden="false" customHeight="true" outlineLevel="0" collapsed="false">
      <c r="A25" s="75"/>
      <c r="B25" s="111" t="s">
        <v>546</v>
      </c>
      <c r="C25" s="112"/>
      <c r="D25" s="112"/>
      <c r="E25" s="75"/>
      <c r="F25" s="75"/>
      <c r="G25" s="75"/>
      <c r="H25" s="75"/>
    </row>
    <row r="26" s="53" customFormat="true" ht="15" hidden="false" customHeight="true" outlineLevel="0" collapsed="false">
      <c r="A26" s="75"/>
      <c r="B26" s="111" t="s">
        <v>547</v>
      </c>
      <c r="C26" s="112"/>
      <c r="D26" s="112"/>
      <c r="E26" s="75"/>
      <c r="F26" s="75"/>
      <c r="G26" s="75"/>
      <c r="H26" s="75"/>
    </row>
    <row r="27" customFormat="false" ht="15" hidden="false" customHeight="true" outlineLevel="0" collapsed="false">
      <c r="A27" s="75"/>
      <c r="B27" s="110"/>
      <c r="C27" s="75"/>
      <c r="D27" s="75"/>
      <c r="E27" s="75"/>
      <c r="F27" s="75"/>
      <c r="G27" s="75"/>
      <c r="H27" s="75"/>
    </row>
    <row r="28" customFormat="false" ht="15" hidden="false" customHeight="true" outlineLevel="0" collapsed="false">
      <c r="A28" s="75"/>
      <c r="B28" s="110" t="s">
        <v>548</v>
      </c>
      <c r="C28" s="75"/>
      <c r="D28" s="75"/>
      <c r="E28" s="75"/>
      <c r="F28" s="75"/>
      <c r="G28" s="75"/>
      <c r="H28" s="75"/>
    </row>
    <row r="29" customFormat="false" ht="15" hidden="false" customHeight="true" outlineLevel="0" collapsed="false">
      <c r="A29" s="75"/>
      <c r="B29" s="113" t="s">
        <v>549</v>
      </c>
      <c r="C29" s="95"/>
      <c r="D29" s="95"/>
      <c r="E29" s="95"/>
      <c r="F29" s="95"/>
      <c r="G29" s="75"/>
      <c r="H29" s="75"/>
    </row>
    <row r="30" customFormat="false" ht="15" hidden="false" customHeight="true" outlineLevel="0" collapsed="false">
      <c r="A30" s="75"/>
      <c r="B30" s="113" t="s">
        <v>550</v>
      </c>
      <c r="C30" s="95"/>
      <c r="D30" s="95"/>
      <c r="E30" s="95"/>
      <c r="F30" s="95"/>
      <c r="G30" s="75"/>
      <c r="H30" s="75"/>
    </row>
    <row r="31" customFormat="false" ht="15" hidden="false" customHeight="true" outlineLevel="0" collapsed="false">
      <c r="A31" s="75"/>
      <c r="B31" s="113" t="s">
        <v>551</v>
      </c>
      <c r="C31" s="95"/>
      <c r="D31" s="95"/>
      <c r="E31" s="95"/>
      <c r="F31" s="95"/>
      <c r="G31" s="75"/>
      <c r="H31" s="75"/>
    </row>
    <row r="32" customFormat="false" ht="15" hidden="false" customHeight="true" outlineLevel="0" collapsed="false">
      <c r="A32" s="75"/>
      <c r="B32" s="113" t="s">
        <v>552</v>
      </c>
      <c r="C32" s="95"/>
      <c r="D32" s="95"/>
      <c r="E32" s="95"/>
      <c r="F32" s="95"/>
      <c r="G32" s="75"/>
      <c r="H32" s="75"/>
    </row>
    <row r="33" customFormat="false" ht="15" hidden="false" customHeight="true" outlineLevel="0" collapsed="false">
      <c r="A33" s="75"/>
      <c r="B33" s="113" t="s">
        <v>553</v>
      </c>
      <c r="C33" s="95"/>
      <c r="D33" s="95"/>
      <c r="E33" s="95"/>
      <c r="F33" s="95"/>
      <c r="G33" s="75"/>
      <c r="H33" s="75"/>
    </row>
    <row r="34" customFormat="false" ht="15" hidden="false" customHeight="true" outlineLevel="0" collapsed="false">
      <c r="A34" s="75"/>
      <c r="B34" s="113" t="s">
        <v>554</v>
      </c>
      <c r="C34" s="95"/>
      <c r="D34" s="95"/>
      <c r="E34" s="95"/>
      <c r="F34" s="95"/>
      <c r="G34" s="75"/>
      <c r="H34" s="75"/>
    </row>
    <row r="35" customFormat="false" ht="15" hidden="false" customHeight="true" outlineLevel="0" collapsed="false">
      <c r="A35" s="75"/>
      <c r="B35" s="113" t="s">
        <v>555</v>
      </c>
      <c r="C35" s="95"/>
      <c r="D35" s="95"/>
      <c r="E35" s="95"/>
      <c r="F35" s="95"/>
      <c r="G35" s="75"/>
      <c r="H35" s="75"/>
    </row>
    <row r="36" customFormat="false" ht="15" hidden="false" customHeight="true" outlineLevel="0" collapsed="false">
      <c r="A36" s="75"/>
      <c r="B36" s="113" t="s">
        <v>556</v>
      </c>
      <c r="C36" s="95"/>
      <c r="D36" s="95"/>
      <c r="E36" s="95"/>
      <c r="F36" s="95"/>
      <c r="G36" s="75"/>
      <c r="H36" s="75"/>
    </row>
    <row r="37" customFormat="false" ht="15" hidden="false" customHeight="true" outlineLevel="0" collapsed="false">
      <c r="A37" s="75"/>
      <c r="B37" s="113" t="s">
        <v>557</v>
      </c>
      <c r="C37" s="95"/>
      <c r="D37" s="95"/>
      <c r="E37" s="95"/>
      <c r="F37" s="95"/>
      <c r="G37" s="75"/>
      <c r="H37" s="75"/>
    </row>
    <row r="38" s="94" customFormat="true" ht="15" hidden="false" customHeight="true" outlineLevel="0" collapsed="false">
      <c r="A38" s="95"/>
      <c r="B38" s="95"/>
      <c r="C38" s="95"/>
      <c r="D38" s="95"/>
      <c r="E38" s="95"/>
      <c r="F38" s="95"/>
      <c r="G38" s="95"/>
      <c r="H38" s="95"/>
    </row>
    <row r="39" s="94" customFormat="true" ht="15" hidden="false" customHeight="true" outlineLevel="0" collapsed="false">
      <c r="A39" s="95"/>
      <c r="B39" s="114" t="s">
        <v>500</v>
      </c>
      <c r="C39" s="95"/>
      <c r="D39" s="95"/>
      <c r="E39" s="95"/>
      <c r="F39" s="95"/>
      <c r="G39" s="95"/>
      <c r="H39" s="95"/>
    </row>
    <row r="40" s="94" customFormat="true" ht="15" hidden="false" customHeight="true" outlineLevel="0" collapsed="false">
      <c r="A40" s="95"/>
      <c r="B40" s="116" t="s">
        <v>501</v>
      </c>
      <c r="C40" s="116" t="s">
        <v>502</v>
      </c>
      <c r="D40" s="116" t="s">
        <v>60</v>
      </c>
      <c r="E40" s="116" t="s">
        <v>10</v>
      </c>
      <c r="F40" s="116" t="s">
        <v>503</v>
      </c>
      <c r="G40" s="102"/>
      <c r="H40" s="95"/>
    </row>
    <row r="41" s="94" customFormat="true" ht="15" hidden="false" customHeight="true" outlineLevel="0" collapsed="false">
      <c r="A41" s="95"/>
      <c r="B41" s="114" t="s">
        <v>504</v>
      </c>
      <c r="C41" s="117" t="s">
        <v>505</v>
      </c>
      <c r="D41" s="118" t="str">
        <f aca="false">'Class-E Calculator'!E55</f>
        <v>018 µH</v>
      </c>
      <c r="E41" s="117" t="s">
        <v>70</v>
      </c>
      <c r="F41" s="117" t="s">
        <v>506</v>
      </c>
      <c r="G41" s="95"/>
      <c r="H41" s="95"/>
    </row>
    <row r="42" s="94" customFormat="true" ht="15" hidden="false" customHeight="true" outlineLevel="0" collapsed="false">
      <c r="A42" s="95"/>
      <c r="B42" s="114" t="s">
        <v>507</v>
      </c>
      <c r="C42" s="117" t="s">
        <v>508</v>
      </c>
      <c r="D42" s="118" t="str">
        <f aca="false">'Class-E Calculator'!E49</f>
        <v>075 pF</v>
      </c>
      <c r="E42" s="117" t="s">
        <v>30</v>
      </c>
      <c r="F42" s="117" t="s">
        <v>509</v>
      </c>
      <c r="G42" s="95"/>
      <c r="H42" s="95"/>
    </row>
    <row r="43" s="94" customFormat="true" ht="15" hidden="false" customHeight="true" outlineLevel="0" collapsed="false">
      <c r="A43" s="95"/>
      <c r="B43" s="114" t="s">
        <v>510</v>
      </c>
      <c r="C43" s="117" t="s">
        <v>511</v>
      </c>
      <c r="D43" s="118" t="str">
        <f aca="false">'Class-E Calculator'!E51</f>
        <v>02 µH</v>
      </c>
      <c r="E43" s="117" t="s">
        <v>70</v>
      </c>
      <c r="F43" s="117" t="s">
        <v>512</v>
      </c>
      <c r="G43" s="95"/>
      <c r="H43" s="95"/>
    </row>
    <row r="44" s="94" customFormat="true" ht="15" hidden="false" customHeight="true" outlineLevel="0" collapsed="false">
      <c r="A44" s="95"/>
      <c r="B44" s="114" t="s">
        <v>513</v>
      </c>
      <c r="C44" s="117" t="s">
        <v>514</v>
      </c>
      <c r="D44" s="118" t="str">
        <f aca="false">'Class-E Calculator'!E53</f>
        <v>091 pF</v>
      </c>
      <c r="E44" s="117" t="s">
        <v>30</v>
      </c>
      <c r="F44" s="117" t="s">
        <v>515</v>
      </c>
      <c r="G44" s="95"/>
      <c r="H44" s="95"/>
    </row>
    <row r="45" s="94" customFormat="true" ht="15" hidden="false" customHeight="true" outlineLevel="0" collapsed="false">
      <c r="A45" s="95"/>
      <c r="B45" s="114" t="s">
        <v>516</v>
      </c>
      <c r="C45" s="117" t="s">
        <v>517</v>
      </c>
      <c r="D45" s="118" t="str">
        <f aca="false">'LPF Direct 7-pole'!E29</f>
        <v>0 µH</v>
      </c>
      <c r="E45" s="117" t="s">
        <v>70</v>
      </c>
      <c r="F45" s="117" t="s">
        <v>558</v>
      </c>
      <c r="G45" s="95"/>
      <c r="H45" s="95"/>
    </row>
    <row r="46" s="94" customFormat="true" ht="15" hidden="false" customHeight="true" outlineLevel="0" collapsed="false">
      <c r="A46" s="95"/>
      <c r="B46" s="114" t="s">
        <v>519</v>
      </c>
      <c r="C46" s="117" t="s">
        <v>520</v>
      </c>
      <c r="D46" s="118" t="str">
        <f aca="false">'LPF Direct 7-pole'!E31</f>
        <v>360 pF</v>
      </c>
      <c r="E46" s="117" t="s">
        <v>30</v>
      </c>
      <c r="F46" s="117" t="s">
        <v>559</v>
      </c>
      <c r="G46" s="95"/>
      <c r="H46" s="95"/>
    </row>
    <row r="47" s="94" customFormat="true" ht="15" hidden="false" customHeight="true" outlineLevel="0" collapsed="false">
      <c r="A47" s="95"/>
      <c r="B47" s="114" t="s">
        <v>522</v>
      </c>
      <c r="C47" s="117" t="s">
        <v>560</v>
      </c>
      <c r="D47" s="118" t="str">
        <f aca="false">'LPF Direct 7-pole'!E33</f>
        <v>01 µH</v>
      </c>
      <c r="E47" s="117" t="s">
        <v>70</v>
      </c>
      <c r="F47" s="117" t="s">
        <v>561</v>
      </c>
      <c r="G47" s="95"/>
      <c r="H47" s="95"/>
    </row>
    <row r="48" s="94" customFormat="true" ht="15" hidden="false" customHeight="true" outlineLevel="0" collapsed="false">
      <c r="A48" s="95"/>
      <c r="B48" s="114" t="s">
        <v>525</v>
      </c>
      <c r="C48" s="117" t="s">
        <v>562</v>
      </c>
      <c r="D48" s="118" t="str">
        <f aca="false">'LPF Direct 7-pole'!E35</f>
        <v>330 pF</v>
      </c>
      <c r="E48" s="117" t="s">
        <v>30</v>
      </c>
      <c r="F48" s="117" t="s">
        <v>563</v>
      </c>
      <c r="G48" s="95"/>
      <c r="H48" s="95"/>
    </row>
    <row r="49" s="94" customFormat="true" ht="15" hidden="false" customHeight="true" outlineLevel="0" collapsed="false">
      <c r="A49" s="95"/>
      <c r="B49" s="114" t="s">
        <v>528</v>
      </c>
      <c r="C49" s="117" t="s">
        <v>564</v>
      </c>
      <c r="D49" s="118" t="str">
        <f aca="false">'LPF Direct 7-pole'!E37</f>
        <v>01 µH</v>
      </c>
      <c r="E49" s="117" t="s">
        <v>70</v>
      </c>
      <c r="F49" s="117" t="s">
        <v>565</v>
      </c>
      <c r="G49" s="95"/>
      <c r="H49" s="95"/>
    </row>
    <row r="50" s="94" customFormat="true" ht="15" hidden="false" customHeight="true" outlineLevel="0" collapsed="false">
      <c r="A50" s="95"/>
      <c r="B50" s="114" t="s">
        <v>566</v>
      </c>
      <c r="C50" s="117" t="s">
        <v>526</v>
      </c>
      <c r="D50" s="118" t="str">
        <f aca="false">'LPF Direct 7-pole'!E39</f>
        <v>240 pF</v>
      </c>
      <c r="E50" s="117" t="s">
        <v>30</v>
      </c>
      <c r="F50" s="117" t="s">
        <v>567</v>
      </c>
      <c r="G50" s="95"/>
      <c r="H50" s="95"/>
    </row>
    <row r="51" s="94" customFormat="true" ht="15" hidden="false" customHeight="true" outlineLevel="0" collapsed="false">
      <c r="A51" s="95"/>
      <c r="B51" s="114" t="s">
        <v>568</v>
      </c>
      <c r="C51" s="117" t="s">
        <v>529</v>
      </c>
      <c r="D51" s="118" t="str">
        <f aca="false">'LPF Direct 7-pole'!E41</f>
        <v>0 µH</v>
      </c>
      <c r="E51" s="117" t="s">
        <v>70</v>
      </c>
      <c r="F51" s="117" t="s">
        <v>569</v>
      </c>
      <c r="G51" s="95"/>
      <c r="H51" s="95"/>
    </row>
    <row r="52" s="94" customFormat="true" ht="15" hidden="false" customHeight="true" outlineLevel="0" collapsed="false">
      <c r="A52" s="95"/>
      <c r="B52" s="115"/>
      <c r="C52" s="115"/>
      <c r="D52" s="115"/>
      <c r="E52" s="115"/>
      <c r="F52" s="115"/>
      <c r="G52" s="95"/>
      <c r="H52" s="95"/>
    </row>
    <row r="53" s="94" customFormat="true" ht="15" hidden="false" customHeight="true" outlineLevel="0" collapsed="false">
      <c r="A53" s="95"/>
      <c r="B53" s="114" t="s">
        <v>531</v>
      </c>
      <c r="C53" s="115"/>
      <c r="D53" s="115"/>
      <c r="E53" s="115"/>
      <c r="F53" s="115"/>
      <c r="G53" s="95"/>
      <c r="H53" s="95"/>
    </row>
    <row r="54" s="94" customFormat="true" ht="15" hidden="false" customHeight="true" outlineLevel="0" collapsed="false">
      <c r="A54" s="95"/>
      <c r="B54" s="114" t="s">
        <v>186</v>
      </c>
      <c r="C54" s="118" t="n">
        <f aca="false">'Class-E Calculator'!C18</f>
        <v>14</v>
      </c>
      <c r="D54" s="117" t="s">
        <v>16</v>
      </c>
      <c r="E54" s="115"/>
      <c r="F54" s="115"/>
      <c r="G54" s="95"/>
      <c r="H54" s="95"/>
    </row>
    <row r="55" s="94" customFormat="true" ht="15" hidden="false" customHeight="true" outlineLevel="0" collapsed="false">
      <c r="A55" s="95"/>
      <c r="B55" s="114" t="s">
        <v>532</v>
      </c>
      <c r="C55" s="119" t="n">
        <f aca="false">'Class-E Calculator'!C42</f>
        <v>32.289222500631</v>
      </c>
      <c r="D55" s="117" t="s">
        <v>22</v>
      </c>
      <c r="E55" s="115"/>
      <c r="F55" s="115"/>
      <c r="G55" s="95"/>
      <c r="H55" s="95"/>
    </row>
    <row r="56" s="94" customFormat="true" ht="15" hidden="false" customHeight="true" outlineLevel="0" collapsed="false">
      <c r="A56" s="95"/>
      <c r="B56" s="114" t="s">
        <v>533</v>
      </c>
      <c r="C56" s="118" t="n">
        <f aca="false">'Class-E Calculator'!C16</f>
        <v>5</v>
      </c>
      <c r="D56" s="117" t="s">
        <v>12</v>
      </c>
      <c r="E56" s="115"/>
      <c r="F56" s="115"/>
      <c r="G56" s="95"/>
      <c r="H56" s="95"/>
    </row>
    <row r="57" s="94" customFormat="true" ht="15" hidden="false" customHeight="true" outlineLevel="0" collapsed="false">
      <c r="A57" s="95"/>
      <c r="B57" s="114" t="s">
        <v>534</v>
      </c>
      <c r="C57" s="118" t="n">
        <f aca="false">'Class-E Calculator'!C17</f>
        <v>0.4</v>
      </c>
      <c r="D57" s="117" t="s">
        <v>14</v>
      </c>
      <c r="E57" s="115"/>
      <c r="F57" s="115"/>
      <c r="G57" s="95"/>
      <c r="H57" s="95"/>
    </row>
    <row r="58" s="94" customFormat="true" ht="15" hidden="false" customHeight="true" outlineLevel="0" collapsed="false">
      <c r="A58" s="95"/>
      <c r="B58" s="114" t="s">
        <v>535</v>
      </c>
      <c r="C58" s="119" t="n">
        <f aca="false">'LPF Direct 7-pole'!C19</f>
        <v>19.6</v>
      </c>
      <c r="D58" s="117" t="s">
        <v>16</v>
      </c>
      <c r="E58" s="115"/>
      <c r="F58" s="115"/>
      <c r="G58" s="95"/>
      <c r="H58" s="95"/>
    </row>
    <row r="59" s="94" customFormat="true" ht="15" hidden="false" customHeight="true" outlineLevel="0" collapsed="false">
      <c r="A59" s="95"/>
      <c r="B59" s="114" t="s">
        <v>536</v>
      </c>
      <c r="C59" s="119" t="n">
        <f aca="false">'LPF Direct 7-pole'!C45</f>
        <v>-32.0640508287318</v>
      </c>
      <c r="D59" s="117" t="s">
        <v>155</v>
      </c>
      <c r="E59" s="115"/>
      <c r="F59" s="115"/>
      <c r="G59" s="95"/>
      <c r="H59" s="95"/>
    </row>
    <row r="60" s="94" customFormat="true" ht="15" hidden="false" customHeight="true" outlineLevel="0" collapsed="false">
      <c r="A60" s="95"/>
      <c r="B60" s="114" t="s">
        <v>537</v>
      </c>
      <c r="C60" s="119" t="n">
        <f aca="false">'LPF Direct 7-pole'!C46</f>
        <v>-62.4728499132733</v>
      </c>
      <c r="D60" s="117" t="s">
        <v>155</v>
      </c>
      <c r="E60" s="115"/>
      <c r="F60" s="115"/>
      <c r="G60" s="95"/>
      <c r="H60" s="95"/>
    </row>
    <row r="61" customFormat="false" ht="15" hidden="false" customHeight="true" outlineLevel="0" collapsed="false">
      <c r="A61" s="75"/>
      <c r="B61" s="115"/>
      <c r="C61" s="115"/>
      <c r="D61" s="115"/>
      <c r="E61" s="115"/>
      <c r="F61" s="115"/>
      <c r="G61" s="75"/>
      <c r="H61" s="7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20"/>
  <sheetViews>
    <sheetView showFormulas="false" showGridLines="true" showRowColHeaders="true" showZeros="true" rightToLeft="false" tabSelected="false" showOutlineSymbols="true" defaultGridColor="true" view="normal" topLeftCell="A1" colorId="64" zoomScale="200" zoomScaleNormal="200" zoomScalePageLayoutView="100" workbookViewId="0">
      <selection pane="topLeft" activeCell="L26" activeCellId="0" sqref="L26"/>
    </sheetView>
  </sheetViews>
  <sheetFormatPr defaultColWidth="8.640625" defaultRowHeight="15" customHeight="false" zeroHeight="false" outlineLevelRow="0" outlineLevelCol="0"/>
  <cols>
    <col collapsed="false" customWidth="true" hidden="false" outlineLevel="0" max="1" min="1" style="94" width="11.73"/>
    <col collapsed="false" customWidth="true" hidden="false" outlineLevel="0" max="2" min="2" style="94" width="9.18"/>
    <col collapsed="false" customWidth="true" hidden="false" outlineLevel="0" max="3" min="3" style="94" width="8.99"/>
    <col collapsed="false" customWidth="true" hidden="false" outlineLevel="0" max="4" min="4" style="94" width="4.33"/>
    <col collapsed="false" customWidth="true" hidden="false" outlineLevel="0" max="5" min="5" style="94" width="9.91"/>
    <col collapsed="false" customWidth="true" hidden="false" outlineLevel="0" max="6" min="6" style="94" width="9.19"/>
    <col collapsed="false" customWidth="false" hidden="false" outlineLevel="0" max="7" min="7" style="94" width="8.65"/>
    <col collapsed="false" customWidth="true" hidden="false" outlineLevel="0" max="8" min="8" style="94" width="5.32"/>
    <col collapsed="false" customWidth="true" hidden="false" outlineLevel="0" max="9" min="9" style="94" width="10.06"/>
    <col collapsed="false" customWidth="true" hidden="false" outlineLevel="0" max="10" min="10" style="94" width="11.71"/>
    <col collapsed="false" customWidth="true" hidden="false" outlineLevel="0" max="11" min="11" style="94" width="17.88"/>
    <col collapsed="false" customWidth="true" hidden="false" outlineLevel="0" max="12" min="12" style="94" width="40.06"/>
    <col collapsed="false" customWidth="true" hidden="false" outlineLevel="0" max="13" min="13" style="94" width="8.58"/>
    <col collapsed="false" customWidth="true" hidden="false" outlineLevel="0" max="14" min="14" style="94" width="10.59"/>
    <col collapsed="false" customWidth="true" hidden="false" outlineLevel="0" max="15" min="15" style="94" width="31.16"/>
    <col collapsed="false" customWidth="true" hidden="false" outlineLevel="0" max="16" min="16" style="94" width="11.53"/>
    <col collapsed="false" customWidth="true" hidden="false" outlineLevel="0" max="17" min="17" style="94" width="10.97"/>
    <col collapsed="false" customWidth="false" hidden="false" outlineLevel="0" max="257" min="18" style="94" width="8.64"/>
  </cols>
  <sheetData>
    <row r="1" customFormat="false" ht="15" hidden="false" customHeight="true" outlineLevel="0" collapsed="false">
      <c r="A1" s="120" t="s">
        <v>570</v>
      </c>
      <c r="B1" s="121"/>
      <c r="C1" s="121"/>
      <c r="D1" s="121"/>
      <c r="E1" s="121"/>
      <c r="F1" s="121"/>
      <c r="G1" s="121"/>
      <c r="H1" s="121"/>
      <c r="I1" s="121"/>
      <c r="J1" s="121"/>
      <c r="K1" s="121"/>
      <c r="L1" s="121"/>
      <c r="M1" s="95"/>
      <c r="N1" s="95"/>
      <c r="O1" s="95"/>
      <c r="P1" s="95"/>
      <c r="Q1" s="95"/>
    </row>
    <row r="2" customFormat="false" ht="15" hidden="false" customHeight="true" outlineLevel="0" collapsed="false">
      <c r="A2" s="122" t="str">
        <f aca="false">IF(COUNTA(A3:Q3)=17,"✅ Table header: 17 columns (A–Q) verified","⚠ Column count mismatch — VLOOKUP indices may be wrong")</f>
        <v>✅ Table header: 17 columns (A–Q) verified</v>
      </c>
      <c r="B2" s="123"/>
      <c r="C2" s="123"/>
      <c r="D2" s="123"/>
      <c r="E2" s="123"/>
      <c r="F2" s="123"/>
      <c r="G2" s="123"/>
      <c r="H2" s="123"/>
      <c r="I2" s="123"/>
      <c r="J2" s="123"/>
      <c r="K2" s="123"/>
      <c r="L2" s="123"/>
      <c r="M2" s="95"/>
      <c r="N2" s="95"/>
      <c r="O2" s="95"/>
      <c r="P2" s="95"/>
      <c r="Q2" s="95"/>
    </row>
    <row r="3" s="129" customFormat="true" ht="27" hidden="false" customHeight="true" outlineLevel="0" collapsed="false">
      <c r="A3" s="124" t="s">
        <v>571</v>
      </c>
      <c r="B3" s="124" t="s">
        <v>572</v>
      </c>
      <c r="C3" s="125" t="s">
        <v>573</v>
      </c>
      <c r="D3" s="125" t="s">
        <v>574</v>
      </c>
      <c r="E3" s="125" t="s">
        <v>575</v>
      </c>
      <c r="F3" s="125" t="s">
        <v>576</v>
      </c>
      <c r="G3" s="125" t="s">
        <v>577</v>
      </c>
      <c r="H3" s="125" t="s">
        <v>578</v>
      </c>
      <c r="I3" s="125" t="s">
        <v>579</v>
      </c>
      <c r="J3" s="125" t="s">
        <v>580</v>
      </c>
      <c r="K3" s="125" t="s">
        <v>581</v>
      </c>
      <c r="L3" s="124" t="s">
        <v>582</v>
      </c>
      <c r="M3" s="125" t="s">
        <v>583</v>
      </c>
      <c r="N3" s="126" t="s">
        <v>584</v>
      </c>
      <c r="O3" s="126" t="s">
        <v>585</v>
      </c>
      <c r="P3" s="100" t="s">
        <v>586</v>
      </c>
      <c r="Q3" s="127" t="s">
        <v>587</v>
      </c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128"/>
      <c r="AC3" s="128"/>
      <c r="AD3" s="128"/>
      <c r="AE3" s="128"/>
      <c r="AF3" s="128"/>
      <c r="AG3" s="128"/>
      <c r="AH3" s="128"/>
      <c r="AI3" s="128"/>
      <c r="AJ3" s="128"/>
      <c r="AK3" s="128"/>
      <c r="AL3" s="128"/>
      <c r="AM3" s="128"/>
      <c r="AN3" s="128"/>
      <c r="AO3" s="128"/>
      <c r="AP3" s="128"/>
      <c r="AQ3" s="128"/>
      <c r="AR3" s="128"/>
      <c r="AS3" s="128"/>
      <c r="AT3" s="128"/>
      <c r="AU3" s="128"/>
      <c r="AV3" s="128"/>
      <c r="AW3" s="128"/>
      <c r="AX3" s="128"/>
      <c r="AY3" s="128"/>
      <c r="AZ3" s="128"/>
      <c r="BA3" s="128"/>
      <c r="BB3" s="128"/>
      <c r="BC3" s="128"/>
      <c r="BD3" s="128"/>
      <c r="BE3" s="128"/>
      <c r="BF3" s="128"/>
      <c r="BG3" s="128"/>
      <c r="BH3" s="128"/>
      <c r="BI3" s="128"/>
      <c r="BJ3" s="128"/>
      <c r="BK3" s="128"/>
      <c r="BL3" s="128"/>
      <c r="BM3" s="128"/>
      <c r="BN3" s="128"/>
      <c r="BO3" s="128"/>
      <c r="BP3" s="128"/>
      <c r="BQ3" s="128"/>
      <c r="BR3" s="128"/>
      <c r="BS3" s="128"/>
      <c r="BT3" s="128"/>
      <c r="BU3" s="128"/>
      <c r="BV3" s="128"/>
      <c r="BW3" s="128"/>
      <c r="BX3" s="128"/>
      <c r="BY3" s="128"/>
      <c r="BZ3" s="128"/>
      <c r="CA3" s="128"/>
      <c r="CB3" s="128"/>
      <c r="CC3" s="128"/>
      <c r="CD3" s="128"/>
      <c r="CE3" s="128"/>
      <c r="CF3" s="128"/>
      <c r="CG3" s="128"/>
      <c r="CH3" s="128"/>
      <c r="CI3" s="128"/>
      <c r="CJ3" s="128"/>
      <c r="CK3" s="128"/>
      <c r="CL3" s="128"/>
      <c r="CM3" s="128"/>
      <c r="CN3" s="128"/>
      <c r="CO3" s="128"/>
      <c r="CP3" s="128"/>
      <c r="CQ3" s="128"/>
      <c r="CR3" s="128"/>
      <c r="CS3" s="128"/>
      <c r="CT3" s="128"/>
      <c r="CU3" s="128"/>
      <c r="CV3" s="128"/>
      <c r="CW3" s="128"/>
      <c r="CX3" s="128"/>
      <c r="CY3" s="128"/>
      <c r="CZ3" s="128"/>
      <c r="DA3" s="128"/>
      <c r="DB3" s="128"/>
      <c r="DC3" s="128"/>
      <c r="DD3" s="128"/>
      <c r="DE3" s="128"/>
      <c r="DF3" s="128"/>
      <c r="DG3" s="128"/>
      <c r="DH3" s="128"/>
      <c r="DI3" s="128"/>
      <c r="DJ3" s="128"/>
      <c r="DK3" s="128"/>
      <c r="DL3" s="128"/>
      <c r="DM3" s="128"/>
      <c r="DN3" s="128"/>
      <c r="DO3" s="128"/>
      <c r="DP3" s="128"/>
      <c r="DQ3" s="128"/>
      <c r="DR3" s="128"/>
      <c r="DS3" s="128"/>
      <c r="DT3" s="128"/>
      <c r="DU3" s="128"/>
      <c r="DV3" s="128"/>
      <c r="DW3" s="128"/>
      <c r="DX3" s="128"/>
      <c r="DY3" s="128"/>
      <c r="DZ3" s="128"/>
      <c r="EA3" s="128"/>
      <c r="EB3" s="128"/>
      <c r="EC3" s="128"/>
      <c r="ED3" s="128"/>
      <c r="EE3" s="128"/>
      <c r="EF3" s="128"/>
      <c r="EG3" s="128"/>
      <c r="EH3" s="128"/>
      <c r="EI3" s="128"/>
      <c r="EJ3" s="128"/>
      <c r="EK3" s="128"/>
      <c r="EL3" s="128"/>
      <c r="EM3" s="128"/>
      <c r="EN3" s="128"/>
      <c r="EO3" s="128"/>
      <c r="EP3" s="128"/>
      <c r="EQ3" s="128"/>
      <c r="ER3" s="128"/>
      <c r="ES3" s="128"/>
      <c r="ET3" s="128"/>
      <c r="EU3" s="128"/>
      <c r="EV3" s="128"/>
      <c r="EW3" s="128"/>
      <c r="EX3" s="128"/>
      <c r="EY3" s="128"/>
      <c r="EZ3" s="128"/>
      <c r="FA3" s="128"/>
      <c r="FB3" s="128"/>
      <c r="FC3" s="128"/>
      <c r="FD3" s="128"/>
      <c r="FE3" s="128"/>
      <c r="FF3" s="128"/>
      <c r="FG3" s="128"/>
      <c r="FH3" s="128"/>
      <c r="FI3" s="128"/>
      <c r="FJ3" s="128"/>
      <c r="FK3" s="128"/>
      <c r="FL3" s="128"/>
      <c r="FM3" s="128"/>
      <c r="FN3" s="128"/>
      <c r="FO3" s="128"/>
      <c r="FP3" s="128"/>
      <c r="FQ3" s="128"/>
      <c r="FR3" s="128"/>
      <c r="FS3" s="128"/>
      <c r="FT3" s="128"/>
      <c r="FU3" s="128"/>
      <c r="FV3" s="128"/>
      <c r="FW3" s="128"/>
      <c r="FX3" s="128"/>
      <c r="FY3" s="128"/>
      <c r="FZ3" s="128"/>
      <c r="GA3" s="128"/>
      <c r="GB3" s="128"/>
      <c r="GC3" s="128"/>
      <c r="GD3" s="128"/>
      <c r="GE3" s="128"/>
      <c r="GF3" s="128"/>
      <c r="GG3" s="128"/>
      <c r="GH3" s="128"/>
      <c r="GI3" s="128"/>
      <c r="GJ3" s="128"/>
      <c r="GK3" s="128"/>
      <c r="GL3" s="128"/>
      <c r="GM3" s="128"/>
      <c r="GN3" s="128"/>
      <c r="GO3" s="128"/>
      <c r="GP3" s="128"/>
      <c r="GQ3" s="128"/>
      <c r="GR3" s="128"/>
      <c r="GS3" s="128"/>
      <c r="GT3" s="128"/>
      <c r="GU3" s="128"/>
      <c r="GV3" s="128"/>
      <c r="GW3" s="128"/>
      <c r="GX3" s="128"/>
      <c r="GY3" s="128"/>
      <c r="GZ3" s="128"/>
      <c r="HA3" s="128"/>
      <c r="HB3" s="128"/>
      <c r="HC3" s="128"/>
      <c r="HD3" s="128"/>
      <c r="HE3" s="128"/>
      <c r="HF3" s="128"/>
      <c r="HG3" s="128"/>
      <c r="HH3" s="128"/>
      <c r="HI3" s="128"/>
      <c r="HJ3" s="128"/>
      <c r="HK3" s="128"/>
      <c r="HL3" s="128"/>
      <c r="HM3" s="128"/>
      <c r="HN3" s="128"/>
      <c r="HO3" s="128"/>
      <c r="HP3" s="128"/>
      <c r="HQ3" s="128"/>
      <c r="HR3" s="128"/>
      <c r="HS3" s="128"/>
      <c r="HT3" s="128"/>
      <c r="HU3" s="128"/>
      <c r="HV3" s="128"/>
      <c r="HW3" s="128"/>
      <c r="HX3" s="128"/>
      <c r="HY3" s="128"/>
      <c r="HZ3" s="128"/>
      <c r="IA3" s="128"/>
      <c r="IB3" s="128"/>
      <c r="IC3" s="128"/>
      <c r="ID3" s="128"/>
      <c r="IE3" s="128"/>
      <c r="IF3" s="128"/>
      <c r="IG3" s="128"/>
      <c r="IH3" s="128"/>
      <c r="II3" s="128"/>
      <c r="IJ3" s="128"/>
      <c r="IK3" s="128"/>
      <c r="IL3" s="128"/>
      <c r="IM3" s="128"/>
      <c r="IN3" s="128"/>
      <c r="IO3" s="128"/>
      <c r="IP3" s="128"/>
      <c r="IQ3" s="128"/>
      <c r="IR3" s="128"/>
      <c r="IS3" s="128"/>
      <c r="IT3" s="128"/>
      <c r="IU3" s="128"/>
      <c r="IV3" s="128"/>
      <c r="IW3" s="128"/>
    </row>
    <row r="4" s="129" customFormat="true" ht="22.5" hidden="false" customHeight="true" outlineLevel="0" collapsed="false">
      <c r="A4" s="130" t="s">
        <v>5</v>
      </c>
      <c r="B4" s="130" t="s">
        <v>588</v>
      </c>
      <c r="C4" s="130" t="n">
        <v>60</v>
      </c>
      <c r="D4" s="130" t="n">
        <v>0.5</v>
      </c>
      <c r="E4" s="130" t="n">
        <v>5</v>
      </c>
      <c r="F4" s="130" t="n">
        <v>60</v>
      </c>
      <c r="G4" s="130" t="n">
        <v>12</v>
      </c>
      <c r="H4" s="130" t="n">
        <v>0.83</v>
      </c>
      <c r="I4" s="130" t="n">
        <v>300</v>
      </c>
      <c r="J4" s="130" t="s">
        <v>589</v>
      </c>
      <c r="K4" s="130" t="s">
        <v>590</v>
      </c>
      <c r="L4" s="131" t="s">
        <v>591</v>
      </c>
      <c r="M4" s="130" t="n">
        <v>150</v>
      </c>
      <c r="N4" s="132" t="s">
        <v>592</v>
      </c>
      <c r="O4" s="132" t="n">
        <v>0.4</v>
      </c>
      <c r="P4" s="133" t="s">
        <v>593</v>
      </c>
      <c r="Q4" s="133" t="n">
        <v>2.5</v>
      </c>
      <c r="R4" s="128"/>
      <c r="S4" s="128"/>
      <c r="T4" s="128"/>
      <c r="U4" s="128"/>
      <c r="V4" s="128"/>
      <c r="W4" s="128"/>
      <c r="X4" s="128"/>
      <c r="Y4" s="128"/>
      <c r="Z4" s="128"/>
      <c r="AA4" s="128"/>
      <c r="AB4" s="128"/>
      <c r="AC4" s="128"/>
      <c r="AD4" s="128"/>
      <c r="AE4" s="128"/>
      <c r="AF4" s="128"/>
      <c r="AG4" s="128"/>
      <c r="AH4" s="128"/>
      <c r="AI4" s="128"/>
      <c r="AJ4" s="128"/>
      <c r="AK4" s="128"/>
      <c r="AL4" s="128"/>
      <c r="AM4" s="128"/>
      <c r="AN4" s="128"/>
      <c r="AO4" s="128"/>
      <c r="AP4" s="128"/>
      <c r="AQ4" s="128"/>
      <c r="AR4" s="128"/>
      <c r="AS4" s="128"/>
      <c r="AT4" s="128"/>
      <c r="AU4" s="128"/>
      <c r="AV4" s="128"/>
      <c r="AW4" s="128"/>
      <c r="AX4" s="128"/>
      <c r="AY4" s="128"/>
      <c r="AZ4" s="128"/>
      <c r="BA4" s="128"/>
      <c r="BB4" s="128"/>
      <c r="BC4" s="128"/>
      <c r="BD4" s="128"/>
      <c r="BE4" s="128"/>
      <c r="BF4" s="128"/>
      <c r="BG4" s="128"/>
      <c r="BH4" s="128"/>
      <c r="BI4" s="128"/>
      <c r="BJ4" s="128"/>
      <c r="BK4" s="128"/>
      <c r="BL4" s="128"/>
      <c r="BM4" s="128"/>
      <c r="BN4" s="128"/>
      <c r="BO4" s="128"/>
      <c r="BP4" s="128"/>
      <c r="BQ4" s="128"/>
      <c r="BR4" s="128"/>
      <c r="BS4" s="128"/>
      <c r="BT4" s="128"/>
      <c r="BU4" s="128"/>
      <c r="BV4" s="128"/>
      <c r="BW4" s="128"/>
      <c r="BX4" s="128"/>
      <c r="BY4" s="128"/>
      <c r="BZ4" s="128"/>
      <c r="CA4" s="128"/>
      <c r="CB4" s="128"/>
      <c r="CC4" s="128"/>
      <c r="CD4" s="128"/>
      <c r="CE4" s="128"/>
      <c r="CF4" s="128"/>
      <c r="CG4" s="128"/>
      <c r="CH4" s="128"/>
      <c r="CI4" s="128"/>
      <c r="CJ4" s="128"/>
      <c r="CK4" s="128"/>
      <c r="CL4" s="128"/>
      <c r="CM4" s="128"/>
      <c r="CN4" s="128"/>
      <c r="CO4" s="128"/>
      <c r="CP4" s="128"/>
      <c r="CQ4" s="128"/>
      <c r="CR4" s="128"/>
      <c r="CS4" s="128"/>
      <c r="CT4" s="128"/>
      <c r="CU4" s="128"/>
      <c r="CV4" s="128"/>
      <c r="CW4" s="128"/>
      <c r="CX4" s="128"/>
      <c r="CY4" s="128"/>
      <c r="CZ4" s="128"/>
      <c r="DA4" s="128"/>
      <c r="DB4" s="128"/>
      <c r="DC4" s="128"/>
      <c r="DD4" s="128"/>
      <c r="DE4" s="128"/>
      <c r="DF4" s="128"/>
      <c r="DG4" s="128"/>
      <c r="DH4" s="128"/>
      <c r="DI4" s="128"/>
      <c r="DJ4" s="128"/>
      <c r="DK4" s="128"/>
      <c r="DL4" s="128"/>
      <c r="DM4" s="128"/>
      <c r="DN4" s="128"/>
      <c r="DO4" s="128"/>
      <c r="DP4" s="128"/>
      <c r="DQ4" s="128"/>
      <c r="DR4" s="128"/>
      <c r="DS4" s="128"/>
      <c r="DT4" s="128"/>
      <c r="DU4" s="128"/>
      <c r="DV4" s="128"/>
      <c r="DW4" s="128"/>
      <c r="DX4" s="128"/>
      <c r="DY4" s="128"/>
      <c r="DZ4" s="128"/>
      <c r="EA4" s="128"/>
      <c r="EB4" s="128"/>
      <c r="EC4" s="128"/>
      <c r="ED4" s="128"/>
      <c r="EE4" s="128"/>
      <c r="EF4" s="128"/>
      <c r="EG4" s="128"/>
      <c r="EH4" s="128"/>
      <c r="EI4" s="128"/>
      <c r="EJ4" s="128"/>
      <c r="EK4" s="128"/>
      <c r="EL4" s="128"/>
      <c r="EM4" s="128"/>
      <c r="EN4" s="128"/>
      <c r="EO4" s="128"/>
      <c r="EP4" s="128"/>
      <c r="EQ4" s="128"/>
      <c r="ER4" s="128"/>
      <c r="ES4" s="128"/>
      <c r="ET4" s="128"/>
      <c r="EU4" s="128"/>
      <c r="EV4" s="128"/>
      <c r="EW4" s="128"/>
      <c r="EX4" s="128"/>
      <c r="EY4" s="128"/>
      <c r="EZ4" s="128"/>
      <c r="FA4" s="128"/>
      <c r="FB4" s="128"/>
      <c r="FC4" s="128"/>
      <c r="FD4" s="128"/>
      <c r="FE4" s="128"/>
      <c r="FF4" s="128"/>
      <c r="FG4" s="128"/>
      <c r="FH4" s="128"/>
      <c r="FI4" s="128"/>
      <c r="FJ4" s="128"/>
      <c r="FK4" s="128"/>
      <c r="FL4" s="128"/>
      <c r="FM4" s="128"/>
      <c r="FN4" s="128"/>
      <c r="FO4" s="128"/>
      <c r="FP4" s="128"/>
      <c r="FQ4" s="128"/>
      <c r="FR4" s="128"/>
      <c r="FS4" s="128"/>
      <c r="FT4" s="128"/>
      <c r="FU4" s="128"/>
      <c r="FV4" s="128"/>
      <c r="FW4" s="128"/>
      <c r="FX4" s="128"/>
      <c r="FY4" s="128"/>
      <c r="FZ4" s="128"/>
      <c r="GA4" s="128"/>
      <c r="GB4" s="128"/>
      <c r="GC4" s="128"/>
      <c r="GD4" s="128"/>
      <c r="GE4" s="128"/>
      <c r="GF4" s="128"/>
      <c r="GG4" s="128"/>
      <c r="GH4" s="128"/>
      <c r="GI4" s="128"/>
      <c r="GJ4" s="128"/>
      <c r="GK4" s="128"/>
      <c r="GL4" s="128"/>
      <c r="GM4" s="128"/>
      <c r="GN4" s="128"/>
      <c r="GO4" s="128"/>
      <c r="GP4" s="128"/>
      <c r="GQ4" s="128"/>
      <c r="GR4" s="128"/>
      <c r="GS4" s="128"/>
      <c r="GT4" s="128"/>
      <c r="GU4" s="128"/>
      <c r="GV4" s="128"/>
      <c r="GW4" s="128"/>
      <c r="GX4" s="128"/>
      <c r="GY4" s="128"/>
      <c r="GZ4" s="128"/>
      <c r="HA4" s="128"/>
      <c r="HB4" s="128"/>
      <c r="HC4" s="128"/>
      <c r="HD4" s="128"/>
      <c r="HE4" s="128"/>
      <c r="HF4" s="128"/>
      <c r="HG4" s="128"/>
      <c r="HH4" s="128"/>
      <c r="HI4" s="128"/>
      <c r="HJ4" s="128"/>
      <c r="HK4" s="128"/>
      <c r="HL4" s="128"/>
      <c r="HM4" s="128"/>
      <c r="HN4" s="128"/>
      <c r="HO4" s="128"/>
      <c r="HP4" s="128"/>
      <c r="HQ4" s="128"/>
      <c r="HR4" s="128"/>
      <c r="HS4" s="128"/>
      <c r="HT4" s="128"/>
      <c r="HU4" s="128"/>
      <c r="HV4" s="128"/>
      <c r="HW4" s="128"/>
      <c r="HX4" s="128"/>
      <c r="HY4" s="128"/>
      <c r="HZ4" s="128"/>
      <c r="IA4" s="128"/>
      <c r="IB4" s="128"/>
      <c r="IC4" s="128"/>
      <c r="ID4" s="128"/>
      <c r="IE4" s="128"/>
      <c r="IF4" s="128"/>
      <c r="IG4" s="128"/>
      <c r="IH4" s="128"/>
      <c r="II4" s="128"/>
      <c r="IJ4" s="128"/>
      <c r="IK4" s="128"/>
      <c r="IL4" s="128"/>
      <c r="IM4" s="128"/>
      <c r="IN4" s="128"/>
      <c r="IO4" s="128"/>
      <c r="IP4" s="128"/>
      <c r="IQ4" s="128"/>
      <c r="IR4" s="128"/>
      <c r="IS4" s="128"/>
      <c r="IT4" s="128"/>
      <c r="IU4" s="128"/>
      <c r="IV4" s="128"/>
      <c r="IW4" s="128"/>
    </row>
    <row r="5" customFormat="false" ht="22.5" hidden="false" customHeight="true" outlineLevel="0" collapsed="false">
      <c r="A5" s="130" t="s">
        <v>594</v>
      </c>
      <c r="B5" s="130" t="s">
        <v>588</v>
      </c>
      <c r="C5" s="130" t="n">
        <v>60</v>
      </c>
      <c r="D5" s="130" t="n">
        <v>0.2</v>
      </c>
      <c r="E5" s="130" t="n">
        <v>5.3</v>
      </c>
      <c r="F5" s="130" t="n">
        <v>50</v>
      </c>
      <c r="G5" s="130" t="n">
        <v>10</v>
      </c>
      <c r="H5" s="130" t="n">
        <v>0.4</v>
      </c>
      <c r="I5" s="130" t="n">
        <v>200</v>
      </c>
      <c r="J5" s="130" t="s">
        <v>595</v>
      </c>
      <c r="K5" s="130" t="s">
        <v>596</v>
      </c>
      <c r="L5" s="131" t="s">
        <v>597</v>
      </c>
      <c r="M5" s="130" t="n">
        <v>150</v>
      </c>
      <c r="N5" s="132" t="s">
        <v>598</v>
      </c>
      <c r="O5" s="132" t="n">
        <v>0.4</v>
      </c>
      <c r="P5" s="133" t="s">
        <v>593</v>
      </c>
      <c r="Q5" s="133" t="n">
        <v>2.5</v>
      </c>
      <c r="R5" s="128"/>
      <c r="S5" s="128"/>
      <c r="T5" s="128"/>
      <c r="U5" s="128"/>
      <c r="V5" s="128"/>
      <c r="W5" s="128"/>
      <c r="X5" s="128"/>
      <c r="Y5" s="128"/>
      <c r="Z5" s="128"/>
      <c r="AA5" s="128"/>
      <c r="AB5" s="128"/>
      <c r="AC5" s="128"/>
      <c r="AD5" s="128"/>
      <c r="AE5" s="128"/>
      <c r="AF5" s="128"/>
      <c r="AG5" s="128"/>
      <c r="AH5" s="128"/>
      <c r="AI5" s="128"/>
      <c r="AJ5" s="128"/>
      <c r="AK5" s="128"/>
      <c r="AL5" s="128"/>
      <c r="AM5" s="128"/>
      <c r="AN5" s="128"/>
      <c r="AO5" s="128"/>
      <c r="AP5" s="128"/>
      <c r="AQ5" s="128"/>
      <c r="AR5" s="128"/>
      <c r="AS5" s="128"/>
      <c r="AT5" s="128"/>
      <c r="AU5" s="128"/>
      <c r="AV5" s="128"/>
      <c r="AW5" s="128"/>
      <c r="AX5" s="128"/>
      <c r="AY5" s="128"/>
      <c r="AZ5" s="128"/>
      <c r="BA5" s="128"/>
      <c r="BB5" s="128"/>
      <c r="BC5" s="128"/>
      <c r="BD5" s="128"/>
      <c r="BE5" s="128"/>
      <c r="BF5" s="128"/>
      <c r="BG5" s="128"/>
      <c r="BH5" s="128"/>
      <c r="BI5" s="128"/>
      <c r="BJ5" s="128"/>
      <c r="BK5" s="128"/>
      <c r="BL5" s="128"/>
      <c r="BM5" s="128"/>
      <c r="BN5" s="128"/>
      <c r="BO5" s="128"/>
      <c r="BP5" s="128"/>
      <c r="BQ5" s="128"/>
      <c r="BR5" s="128"/>
      <c r="BS5" s="128"/>
      <c r="BT5" s="128"/>
      <c r="BU5" s="128"/>
      <c r="BV5" s="128"/>
      <c r="BW5" s="128"/>
      <c r="BX5" s="128"/>
      <c r="BY5" s="128"/>
      <c r="BZ5" s="128"/>
      <c r="CA5" s="128"/>
      <c r="CB5" s="128"/>
      <c r="CC5" s="128"/>
      <c r="CD5" s="128"/>
      <c r="CE5" s="128"/>
      <c r="CF5" s="128"/>
      <c r="CG5" s="128"/>
      <c r="CH5" s="128"/>
      <c r="CI5" s="128"/>
      <c r="CJ5" s="128"/>
      <c r="CK5" s="128"/>
      <c r="CL5" s="128"/>
      <c r="CM5" s="128"/>
      <c r="CN5" s="128"/>
      <c r="CO5" s="128"/>
      <c r="CP5" s="128"/>
      <c r="CQ5" s="128"/>
      <c r="CR5" s="128"/>
      <c r="CS5" s="128"/>
      <c r="CT5" s="128"/>
      <c r="CU5" s="128"/>
      <c r="CV5" s="128"/>
      <c r="CW5" s="128"/>
      <c r="CX5" s="128"/>
      <c r="CY5" s="128"/>
      <c r="CZ5" s="128"/>
      <c r="DA5" s="128"/>
      <c r="DB5" s="128"/>
      <c r="DC5" s="128"/>
      <c r="DD5" s="128"/>
      <c r="DE5" s="128"/>
      <c r="DF5" s="128"/>
      <c r="DG5" s="128"/>
      <c r="DH5" s="128"/>
      <c r="DI5" s="128"/>
      <c r="DJ5" s="128"/>
      <c r="DK5" s="128"/>
      <c r="DL5" s="128"/>
      <c r="DM5" s="128"/>
      <c r="DN5" s="128"/>
      <c r="DO5" s="128"/>
      <c r="DP5" s="128"/>
      <c r="DQ5" s="128"/>
      <c r="DR5" s="128"/>
      <c r="DS5" s="128"/>
      <c r="DT5" s="128"/>
      <c r="DU5" s="128"/>
      <c r="DV5" s="128"/>
      <c r="DW5" s="128"/>
      <c r="DX5" s="128"/>
      <c r="DY5" s="128"/>
      <c r="DZ5" s="128"/>
      <c r="EA5" s="128"/>
      <c r="EB5" s="128"/>
      <c r="EC5" s="128"/>
      <c r="ED5" s="128"/>
      <c r="EE5" s="128"/>
      <c r="EF5" s="128"/>
      <c r="EG5" s="128"/>
      <c r="EH5" s="128"/>
      <c r="EI5" s="128"/>
      <c r="EJ5" s="128"/>
      <c r="EK5" s="128"/>
      <c r="EL5" s="128"/>
      <c r="EM5" s="128"/>
      <c r="EN5" s="128"/>
      <c r="EO5" s="128"/>
      <c r="EP5" s="128"/>
      <c r="EQ5" s="128"/>
      <c r="ER5" s="128"/>
      <c r="ES5" s="128"/>
      <c r="ET5" s="128"/>
      <c r="EU5" s="128"/>
      <c r="EV5" s="128"/>
      <c r="EW5" s="128"/>
      <c r="EX5" s="128"/>
      <c r="EY5" s="128"/>
      <c r="EZ5" s="128"/>
      <c r="FA5" s="128"/>
      <c r="FB5" s="128"/>
      <c r="FC5" s="128"/>
      <c r="FD5" s="128"/>
      <c r="FE5" s="128"/>
      <c r="FF5" s="128"/>
      <c r="FG5" s="128"/>
      <c r="FH5" s="128"/>
      <c r="FI5" s="128"/>
      <c r="FJ5" s="128"/>
      <c r="FK5" s="128"/>
      <c r="FL5" s="128"/>
      <c r="FM5" s="128"/>
      <c r="FN5" s="128"/>
      <c r="FO5" s="128"/>
      <c r="FP5" s="128"/>
      <c r="FQ5" s="128"/>
      <c r="FR5" s="128"/>
      <c r="FS5" s="128"/>
      <c r="FT5" s="128"/>
      <c r="FU5" s="128"/>
      <c r="FV5" s="128"/>
      <c r="FW5" s="128"/>
      <c r="FX5" s="128"/>
      <c r="FY5" s="128"/>
      <c r="FZ5" s="128"/>
      <c r="GA5" s="128"/>
      <c r="GB5" s="128"/>
      <c r="GC5" s="128"/>
      <c r="GD5" s="128"/>
      <c r="GE5" s="128"/>
      <c r="GF5" s="128"/>
      <c r="GG5" s="128"/>
      <c r="GH5" s="128"/>
      <c r="GI5" s="128"/>
      <c r="GJ5" s="128"/>
      <c r="GK5" s="128"/>
      <c r="GL5" s="128"/>
      <c r="GM5" s="128"/>
      <c r="GN5" s="128"/>
      <c r="GO5" s="128"/>
      <c r="GP5" s="128"/>
      <c r="GQ5" s="128"/>
      <c r="GR5" s="128"/>
      <c r="GS5" s="128"/>
      <c r="GT5" s="128"/>
      <c r="GU5" s="128"/>
      <c r="GV5" s="128"/>
      <c r="GW5" s="128"/>
      <c r="GX5" s="128"/>
      <c r="GY5" s="128"/>
      <c r="GZ5" s="128"/>
      <c r="HA5" s="128"/>
      <c r="HB5" s="128"/>
      <c r="HC5" s="128"/>
      <c r="HD5" s="128"/>
      <c r="HE5" s="128"/>
      <c r="HF5" s="128"/>
      <c r="HG5" s="128"/>
      <c r="HH5" s="128"/>
      <c r="HI5" s="128"/>
      <c r="HJ5" s="128"/>
      <c r="HK5" s="128"/>
      <c r="HL5" s="128"/>
      <c r="HM5" s="128"/>
      <c r="HN5" s="128"/>
      <c r="HO5" s="128"/>
      <c r="HP5" s="128"/>
      <c r="HQ5" s="128"/>
      <c r="HR5" s="128"/>
      <c r="HS5" s="128"/>
      <c r="HT5" s="128"/>
      <c r="HU5" s="128"/>
      <c r="HV5" s="128"/>
      <c r="HW5" s="128"/>
      <c r="HX5" s="128"/>
      <c r="HY5" s="128"/>
      <c r="HZ5" s="128"/>
      <c r="IA5" s="128"/>
      <c r="IB5" s="128"/>
      <c r="IC5" s="128"/>
      <c r="ID5" s="128"/>
      <c r="IE5" s="128"/>
      <c r="IF5" s="128"/>
      <c r="IG5" s="128"/>
      <c r="IH5" s="128"/>
      <c r="II5" s="128"/>
      <c r="IJ5" s="128"/>
      <c r="IK5" s="128"/>
      <c r="IL5" s="128"/>
      <c r="IM5" s="128"/>
      <c r="IN5" s="128"/>
      <c r="IO5" s="128"/>
      <c r="IP5" s="128"/>
      <c r="IQ5" s="128"/>
      <c r="IR5" s="128"/>
      <c r="IS5" s="128"/>
      <c r="IT5" s="128"/>
      <c r="IU5" s="128"/>
      <c r="IV5" s="128"/>
      <c r="IW5" s="128"/>
    </row>
    <row r="6" customFormat="false" ht="22.5" hidden="false" customHeight="true" outlineLevel="0" collapsed="false">
      <c r="A6" s="130" t="s">
        <v>599</v>
      </c>
      <c r="B6" s="130" t="s">
        <v>600</v>
      </c>
      <c r="C6" s="130" t="n">
        <v>100</v>
      </c>
      <c r="D6" s="130" t="n">
        <v>5.6</v>
      </c>
      <c r="E6" s="130" t="n">
        <v>0.54</v>
      </c>
      <c r="F6" s="130" t="n">
        <v>135</v>
      </c>
      <c r="G6" s="130" t="n">
        <v>100</v>
      </c>
      <c r="H6" s="130" t="n">
        <v>43</v>
      </c>
      <c r="I6" s="130" t="n">
        <v>50</v>
      </c>
      <c r="J6" s="130" t="s">
        <v>601</v>
      </c>
      <c r="K6" s="130" t="s">
        <v>602</v>
      </c>
      <c r="L6" s="131" t="s">
        <v>603</v>
      </c>
      <c r="M6" s="130" t="n">
        <v>150</v>
      </c>
      <c r="N6" s="132" t="s">
        <v>604</v>
      </c>
      <c r="O6" s="132" t="n">
        <v>0.35</v>
      </c>
      <c r="P6" s="133" t="s">
        <v>605</v>
      </c>
      <c r="Q6" s="133" t="n">
        <v>2.3</v>
      </c>
      <c r="R6" s="128"/>
      <c r="S6" s="128"/>
      <c r="T6" s="128"/>
      <c r="U6" s="128"/>
      <c r="V6" s="128"/>
      <c r="W6" s="128"/>
      <c r="X6" s="128"/>
      <c r="Y6" s="128"/>
      <c r="Z6" s="128"/>
      <c r="AA6" s="128"/>
      <c r="AB6" s="128"/>
      <c r="AC6" s="128"/>
      <c r="AD6" s="128"/>
      <c r="AE6" s="128"/>
      <c r="AF6" s="128"/>
      <c r="AG6" s="128"/>
      <c r="AH6" s="128"/>
      <c r="AI6" s="128"/>
      <c r="AJ6" s="128"/>
      <c r="AK6" s="128"/>
      <c r="AL6" s="128"/>
      <c r="AM6" s="128"/>
      <c r="AN6" s="128"/>
      <c r="AO6" s="128"/>
      <c r="AP6" s="128"/>
      <c r="AQ6" s="128"/>
      <c r="AR6" s="128"/>
      <c r="AS6" s="128"/>
      <c r="AT6" s="128"/>
      <c r="AU6" s="128"/>
      <c r="AV6" s="128"/>
      <c r="AW6" s="128"/>
      <c r="AX6" s="128"/>
      <c r="AY6" s="128"/>
      <c r="AZ6" s="128"/>
      <c r="BA6" s="128"/>
      <c r="BB6" s="128"/>
      <c r="BC6" s="128"/>
      <c r="BD6" s="128"/>
      <c r="BE6" s="128"/>
      <c r="BF6" s="128"/>
      <c r="BG6" s="128"/>
      <c r="BH6" s="128"/>
      <c r="BI6" s="128"/>
      <c r="BJ6" s="128"/>
      <c r="BK6" s="128"/>
      <c r="BL6" s="128"/>
      <c r="BM6" s="128"/>
      <c r="BN6" s="128"/>
      <c r="BO6" s="128"/>
      <c r="BP6" s="128"/>
      <c r="BQ6" s="128"/>
      <c r="BR6" s="128"/>
      <c r="BS6" s="128"/>
      <c r="BT6" s="128"/>
      <c r="BU6" s="128"/>
      <c r="BV6" s="128"/>
      <c r="BW6" s="128"/>
      <c r="BX6" s="128"/>
      <c r="BY6" s="128"/>
      <c r="BZ6" s="128"/>
      <c r="CA6" s="128"/>
      <c r="CB6" s="128"/>
      <c r="CC6" s="128"/>
      <c r="CD6" s="128"/>
      <c r="CE6" s="128"/>
      <c r="CF6" s="128"/>
      <c r="CG6" s="128"/>
      <c r="CH6" s="128"/>
      <c r="CI6" s="128"/>
      <c r="CJ6" s="128"/>
      <c r="CK6" s="128"/>
      <c r="CL6" s="128"/>
      <c r="CM6" s="128"/>
      <c r="CN6" s="128"/>
      <c r="CO6" s="128"/>
      <c r="CP6" s="128"/>
      <c r="CQ6" s="128"/>
      <c r="CR6" s="128"/>
      <c r="CS6" s="128"/>
      <c r="CT6" s="128"/>
      <c r="CU6" s="128"/>
      <c r="CV6" s="128"/>
      <c r="CW6" s="128"/>
      <c r="CX6" s="128"/>
      <c r="CY6" s="128"/>
      <c r="CZ6" s="128"/>
      <c r="DA6" s="128"/>
      <c r="DB6" s="128"/>
      <c r="DC6" s="128"/>
      <c r="DD6" s="128"/>
      <c r="DE6" s="128"/>
      <c r="DF6" s="128"/>
      <c r="DG6" s="128"/>
      <c r="DH6" s="128"/>
      <c r="DI6" s="128"/>
      <c r="DJ6" s="128"/>
      <c r="DK6" s="128"/>
      <c r="DL6" s="128"/>
      <c r="DM6" s="128"/>
      <c r="DN6" s="128"/>
      <c r="DO6" s="128"/>
      <c r="DP6" s="128"/>
      <c r="DQ6" s="128"/>
      <c r="DR6" s="128"/>
      <c r="DS6" s="128"/>
      <c r="DT6" s="128"/>
      <c r="DU6" s="128"/>
      <c r="DV6" s="128"/>
      <c r="DW6" s="128"/>
      <c r="DX6" s="128"/>
      <c r="DY6" s="128"/>
      <c r="DZ6" s="128"/>
      <c r="EA6" s="128"/>
      <c r="EB6" s="128"/>
      <c r="EC6" s="128"/>
      <c r="ED6" s="128"/>
      <c r="EE6" s="128"/>
      <c r="EF6" s="128"/>
      <c r="EG6" s="128"/>
      <c r="EH6" s="128"/>
      <c r="EI6" s="128"/>
      <c r="EJ6" s="128"/>
      <c r="EK6" s="128"/>
      <c r="EL6" s="128"/>
      <c r="EM6" s="128"/>
      <c r="EN6" s="128"/>
      <c r="EO6" s="128"/>
      <c r="EP6" s="128"/>
      <c r="EQ6" s="128"/>
      <c r="ER6" s="128"/>
      <c r="ES6" s="128"/>
      <c r="ET6" s="128"/>
      <c r="EU6" s="128"/>
      <c r="EV6" s="128"/>
      <c r="EW6" s="128"/>
      <c r="EX6" s="128"/>
      <c r="EY6" s="128"/>
      <c r="EZ6" s="128"/>
      <c r="FA6" s="128"/>
      <c r="FB6" s="128"/>
      <c r="FC6" s="128"/>
      <c r="FD6" s="128"/>
      <c r="FE6" s="128"/>
      <c r="FF6" s="128"/>
      <c r="FG6" s="128"/>
      <c r="FH6" s="128"/>
      <c r="FI6" s="128"/>
      <c r="FJ6" s="128"/>
      <c r="FK6" s="128"/>
      <c r="FL6" s="128"/>
      <c r="FM6" s="128"/>
      <c r="FN6" s="128"/>
      <c r="FO6" s="128"/>
      <c r="FP6" s="128"/>
      <c r="FQ6" s="128"/>
      <c r="FR6" s="128"/>
      <c r="FS6" s="128"/>
      <c r="FT6" s="128"/>
      <c r="FU6" s="128"/>
      <c r="FV6" s="128"/>
      <c r="FW6" s="128"/>
      <c r="FX6" s="128"/>
      <c r="FY6" s="128"/>
      <c r="FZ6" s="128"/>
      <c r="GA6" s="128"/>
      <c r="GB6" s="128"/>
      <c r="GC6" s="128"/>
      <c r="GD6" s="128"/>
      <c r="GE6" s="128"/>
      <c r="GF6" s="128"/>
      <c r="GG6" s="128"/>
      <c r="GH6" s="128"/>
      <c r="GI6" s="128"/>
      <c r="GJ6" s="128"/>
      <c r="GK6" s="128"/>
      <c r="GL6" s="128"/>
      <c r="GM6" s="128"/>
      <c r="GN6" s="128"/>
      <c r="GO6" s="128"/>
      <c r="GP6" s="128"/>
      <c r="GQ6" s="128"/>
      <c r="GR6" s="128"/>
      <c r="GS6" s="128"/>
      <c r="GT6" s="128"/>
      <c r="GU6" s="128"/>
      <c r="GV6" s="128"/>
      <c r="GW6" s="128"/>
      <c r="GX6" s="128"/>
      <c r="GY6" s="128"/>
      <c r="GZ6" s="128"/>
      <c r="HA6" s="128"/>
      <c r="HB6" s="128"/>
      <c r="HC6" s="128"/>
      <c r="HD6" s="128"/>
      <c r="HE6" s="128"/>
      <c r="HF6" s="128"/>
      <c r="HG6" s="128"/>
      <c r="HH6" s="128"/>
      <c r="HI6" s="128"/>
      <c r="HJ6" s="128"/>
      <c r="HK6" s="128"/>
      <c r="HL6" s="128"/>
      <c r="HM6" s="128"/>
      <c r="HN6" s="128"/>
      <c r="HO6" s="128"/>
      <c r="HP6" s="128"/>
      <c r="HQ6" s="128"/>
      <c r="HR6" s="128"/>
      <c r="HS6" s="128"/>
      <c r="HT6" s="128"/>
      <c r="HU6" s="128"/>
      <c r="HV6" s="128"/>
      <c r="HW6" s="128"/>
      <c r="HX6" s="128"/>
      <c r="HY6" s="128"/>
      <c r="HZ6" s="128"/>
      <c r="IA6" s="128"/>
      <c r="IB6" s="128"/>
      <c r="IC6" s="128"/>
      <c r="ID6" s="128"/>
      <c r="IE6" s="128"/>
      <c r="IF6" s="128"/>
      <c r="IG6" s="128"/>
      <c r="IH6" s="128"/>
      <c r="II6" s="128"/>
      <c r="IJ6" s="128"/>
      <c r="IK6" s="128"/>
      <c r="IL6" s="128"/>
      <c r="IM6" s="128"/>
      <c r="IN6" s="128"/>
      <c r="IO6" s="128"/>
      <c r="IP6" s="128"/>
      <c r="IQ6" s="128"/>
      <c r="IR6" s="128"/>
      <c r="IS6" s="128"/>
      <c r="IT6" s="128"/>
      <c r="IU6" s="128"/>
      <c r="IV6" s="128"/>
      <c r="IW6" s="128"/>
    </row>
    <row r="7" customFormat="false" ht="22.5" hidden="false" customHeight="true" outlineLevel="0" collapsed="false">
      <c r="A7" s="130" t="s">
        <v>606</v>
      </c>
      <c r="B7" s="130" t="s">
        <v>600</v>
      </c>
      <c r="C7" s="130" t="n">
        <v>100</v>
      </c>
      <c r="D7" s="130" t="n">
        <v>9.2</v>
      </c>
      <c r="E7" s="130" t="n">
        <v>0.27</v>
      </c>
      <c r="F7" s="130" t="n">
        <v>180</v>
      </c>
      <c r="G7" s="130" t="n">
        <v>135</v>
      </c>
      <c r="H7" s="130" t="n">
        <v>50</v>
      </c>
      <c r="I7" s="130" t="n">
        <v>50</v>
      </c>
      <c r="J7" s="130" t="s">
        <v>607</v>
      </c>
      <c r="K7" s="130" t="s">
        <v>602</v>
      </c>
      <c r="L7" s="131" t="s">
        <v>608</v>
      </c>
      <c r="M7" s="130" t="n">
        <v>150</v>
      </c>
      <c r="N7" s="132" t="s">
        <v>604</v>
      </c>
      <c r="O7" s="132" t="n">
        <v>0.35</v>
      </c>
      <c r="P7" s="133" t="s">
        <v>605</v>
      </c>
      <c r="Q7" s="133" t="n">
        <v>2.3</v>
      </c>
      <c r="R7" s="128"/>
      <c r="S7" s="128"/>
      <c r="T7" s="128"/>
      <c r="U7" s="128"/>
      <c r="V7" s="128"/>
      <c r="W7" s="128"/>
      <c r="X7" s="128"/>
      <c r="Y7" s="128"/>
      <c r="Z7" s="128"/>
      <c r="AA7" s="128"/>
      <c r="AB7" s="128"/>
      <c r="AC7" s="128"/>
      <c r="AD7" s="128"/>
      <c r="AE7" s="128"/>
      <c r="AF7" s="128"/>
      <c r="AG7" s="128"/>
      <c r="AH7" s="128"/>
      <c r="AI7" s="128"/>
      <c r="AJ7" s="128"/>
      <c r="AK7" s="128"/>
      <c r="AL7" s="128"/>
      <c r="AM7" s="128"/>
      <c r="AN7" s="128"/>
      <c r="AO7" s="128"/>
      <c r="AP7" s="128"/>
      <c r="AQ7" s="128"/>
      <c r="AR7" s="128"/>
      <c r="AS7" s="128"/>
      <c r="AT7" s="128"/>
      <c r="AU7" s="128"/>
      <c r="AV7" s="128"/>
      <c r="AW7" s="128"/>
      <c r="AX7" s="128"/>
      <c r="AY7" s="128"/>
      <c r="AZ7" s="128"/>
      <c r="BA7" s="128"/>
      <c r="BB7" s="128"/>
      <c r="BC7" s="128"/>
      <c r="BD7" s="128"/>
      <c r="BE7" s="128"/>
      <c r="BF7" s="128"/>
      <c r="BG7" s="128"/>
      <c r="BH7" s="128"/>
      <c r="BI7" s="128"/>
      <c r="BJ7" s="128"/>
      <c r="BK7" s="128"/>
      <c r="BL7" s="128"/>
      <c r="BM7" s="128"/>
      <c r="BN7" s="128"/>
      <c r="BO7" s="128"/>
      <c r="BP7" s="128"/>
      <c r="BQ7" s="128"/>
      <c r="BR7" s="128"/>
      <c r="BS7" s="128"/>
      <c r="BT7" s="128"/>
      <c r="BU7" s="128"/>
      <c r="BV7" s="128"/>
      <c r="BW7" s="128"/>
      <c r="BX7" s="128"/>
      <c r="BY7" s="128"/>
      <c r="BZ7" s="128"/>
      <c r="CA7" s="128"/>
      <c r="CB7" s="128"/>
      <c r="CC7" s="128"/>
      <c r="CD7" s="128"/>
      <c r="CE7" s="128"/>
      <c r="CF7" s="128"/>
      <c r="CG7" s="128"/>
      <c r="CH7" s="128"/>
      <c r="CI7" s="128"/>
      <c r="CJ7" s="128"/>
      <c r="CK7" s="128"/>
      <c r="CL7" s="128"/>
      <c r="CM7" s="128"/>
      <c r="CN7" s="128"/>
      <c r="CO7" s="128"/>
      <c r="CP7" s="128"/>
      <c r="CQ7" s="128"/>
      <c r="CR7" s="128"/>
      <c r="CS7" s="128"/>
      <c r="CT7" s="128"/>
      <c r="CU7" s="128"/>
      <c r="CV7" s="128"/>
      <c r="CW7" s="128"/>
      <c r="CX7" s="128"/>
      <c r="CY7" s="128"/>
      <c r="CZ7" s="128"/>
      <c r="DA7" s="128"/>
      <c r="DB7" s="128"/>
      <c r="DC7" s="128"/>
      <c r="DD7" s="128"/>
      <c r="DE7" s="128"/>
      <c r="DF7" s="128"/>
      <c r="DG7" s="128"/>
      <c r="DH7" s="128"/>
      <c r="DI7" s="128"/>
      <c r="DJ7" s="128"/>
      <c r="DK7" s="128"/>
      <c r="DL7" s="128"/>
      <c r="DM7" s="128"/>
      <c r="DN7" s="128"/>
      <c r="DO7" s="128"/>
      <c r="DP7" s="128"/>
      <c r="DQ7" s="128"/>
      <c r="DR7" s="128"/>
      <c r="DS7" s="128"/>
      <c r="DT7" s="128"/>
      <c r="DU7" s="128"/>
      <c r="DV7" s="128"/>
      <c r="DW7" s="128"/>
      <c r="DX7" s="128"/>
      <c r="DY7" s="128"/>
      <c r="DZ7" s="128"/>
      <c r="EA7" s="128"/>
      <c r="EB7" s="128"/>
      <c r="EC7" s="128"/>
      <c r="ED7" s="128"/>
      <c r="EE7" s="128"/>
      <c r="EF7" s="128"/>
      <c r="EG7" s="128"/>
      <c r="EH7" s="128"/>
      <c r="EI7" s="128"/>
      <c r="EJ7" s="128"/>
      <c r="EK7" s="128"/>
      <c r="EL7" s="128"/>
      <c r="EM7" s="128"/>
      <c r="EN7" s="128"/>
      <c r="EO7" s="128"/>
      <c r="EP7" s="128"/>
      <c r="EQ7" s="128"/>
      <c r="ER7" s="128"/>
      <c r="ES7" s="128"/>
      <c r="ET7" s="128"/>
      <c r="EU7" s="128"/>
      <c r="EV7" s="128"/>
      <c r="EW7" s="128"/>
      <c r="EX7" s="128"/>
      <c r="EY7" s="128"/>
      <c r="EZ7" s="128"/>
      <c r="FA7" s="128"/>
      <c r="FB7" s="128"/>
      <c r="FC7" s="128"/>
      <c r="FD7" s="128"/>
      <c r="FE7" s="128"/>
      <c r="FF7" s="128"/>
      <c r="FG7" s="128"/>
      <c r="FH7" s="128"/>
      <c r="FI7" s="128"/>
      <c r="FJ7" s="128"/>
      <c r="FK7" s="128"/>
      <c r="FL7" s="128"/>
      <c r="FM7" s="128"/>
      <c r="FN7" s="128"/>
      <c r="FO7" s="128"/>
      <c r="FP7" s="128"/>
      <c r="FQ7" s="128"/>
      <c r="FR7" s="128"/>
      <c r="FS7" s="128"/>
      <c r="FT7" s="128"/>
      <c r="FU7" s="128"/>
      <c r="FV7" s="128"/>
      <c r="FW7" s="128"/>
      <c r="FX7" s="128"/>
      <c r="FY7" s="128"/>
      <c r="FZ7" s="128"/>
      <c r="GA7" s="128"/>
      <c r="GB7" s="128"/>
      <c r="GC7" s="128"/>
      <c r="GD7" s="128"/>
      <c r="GE7" s="128"/>
      <c r="GF7" s="128"/>
      <c r="GG7" s="128"/>
      <c r="GH7" s="128"/>
      <c r="GI7" s="128"/>
      <c r="GJ7" s="128"/>
      <c r="GK7" s="128"/>
      <c r="GL7" s="128"/>
      <c r="GM7" s="128"/>
      <c r="GN7" s="128"/>
      <c r="GO7" s="128"/>
      <c r="GP7" s="128"/>
      <c r="GQ7" s="128"/>
      <c r="GR7" s="128"/>
      <c r="GS7" s="128"/>
      <c r="GT7" s="128"/>
      <c r="GU7" s="128"/>
      <c r="GV7" s="128"/>
      <c r="GW7" s="128"/>
      <c r="GX7" s="128"/>
      <c r="GY7" s="128"/>
      <c r="GZ7" s="128"/>
      <c r="HA7" s="128"/>
      <c r="HB7" s="128"/>
      <c r="HC7" s="128"/>
      <c r="HD7" s="128"/>
      <c r="HE7" s="128"/>
      <c r="HF7" s="128"/>
      <c r="HG7" s="128"/>
      <c r="HH7" s="128"/>
      <c r="HI7" s="128"/>
      <c r="HJ7" s="128"/>
      <c r="HK7" s="128"/>
      <c r="HL7" s="128"/>
      <c r="HM7" s="128"/>
      <c r="HN7" s="128"/>
      <c r="HO7" s="128"/>
      <c r="HP7" s="128"/>
      <c r="HQ7" s="128"/>
      <c r="HR7" s="128"/>
      <c r="HS7" s="128"/>
      <c r="HT7" s="128"/>
      <c r="HU7" s="128"/>
      <c r="HV7" s="128"/>
      <c r="HW7" s="128"/>
      <c r="HX7" s="128"/>
      <c r="HY7" s="128"/>
      <c r="HZ7" s="128"/>
      <c r="IA7" s="128"/>
      <c r="IB7" s="128"/>
      <c r="IC7" s="128"/>
      <c r="ID7" s="128"/>
      <c r="IE7" s="128"/>
      <c r="IF7" s="128"/>
      <c r="IG7" s="128"/>
      <c r="IH7" s="128"/>
      <c r="II7" s="128"/>
      <c r="IJ7" s="128"/>
      <c r="IK7" s="128"/>
      <c r="IL7" s="128"/>
      <c r="IM7" s="128"/>
      <c r="IN7" s="128"/>
      <c r="IO7" s="128"/>
      <c r="IP7" s="128"/>
      <c r="IQ7" s="128"/>
      <c r="IR7" s="128"/>
      <c r="IS7" s="128"/>
      <c r="IT7" s="128"/>
      <c r="IU7" s="128"/>
      <c r="IV7" s="128"/>
      <c r="IW7" s="128"/>
    </row>
    <row r="8" customFormat="false" ht="22.5" hidden="false" customHeight="true" outlineLevel="0" collapsed="false">
      <c r="A8" s="130" t="s">
        <v>609</v>
      </c>
      <c r="B8" s="130" t="s">
        <v>600</v>
      </c>
      <c r="C8" s="130" t="n">
        <v>100</v>
      </c>
      <c r="D8" s="130" t="n">
        <v>14</v>
      </c>
      <c r="E8" s="130" t="n">
        <v>0.18</v>
      </c>
      <c r="F8" s="130" t="n">
        <v>400</v>
      </c>
      <c r="G8" s="130" t="n">
        <v>260</v>
      </c>
      <c r="H8" s="130" t="n">
        <v>88</v>
      </c>
      <c r="I8" s="130" t="n">
        <v>50</v>
      </c>
      <c r="J8" s="130" t="s">
        <v>610</v>
      </c>
      <c r="K8" s="130" t="s">
        <v>611</v>
      </c>
      <c r="L8" s="131" t="s">
        <v>612</v>
      </c>
      <c r="M8" s="130" t="n">
        <v>150</v>
      </c>
      <c r="N8" s="132" t="s">
        <v>604</v>
      </c>
      <c r="O8" s="132" t="n">
        <v>0.35</v>
      </c>
      <c r="P8" s="133" t="s">
        <v>605</v>
      </c>
      <c r="Q8" s="133" t="n">
        <v>2.3</v>
      </c>
      <c r="R8" s="128"/>
      <c r="S8" s="128"/>
      <c r="T8" s="128"/>
      <c r="U8" s="128"/>
      <c r="V8" s="128"/>
      <c r="W8" s="128"/>
      <c r="X8" s="128"/>
      <c r="Y8" s="128"/>
      <c r="Z8" s="128"/>
      <c r="AA8" s="128"/>
      <c r="AB8" s="128"/>
      <c r="AC8" s="128"/>
      <c r="AD8" s="128"/>
      <c r="AE8" s="128"/>
      <c r="AF8" s="128"/>
      <c r="AG8" s="128"/>
      <c r="AH8" s="128"/>
      <c r="AI8" s="128"/>
      <c r="AJ8" s="128"/>
      <c r="AK8" s="128"/>
      <c r="AL8" s="128"/>
      <c r="AM8" s="128"/>
      <c r="AN8" s="128"/>
      <c r="AO8" s="128"/>
      <c r="AP8" s="128"/>
      <c r="AQ8" s="128"/>
      <c r="AR8" s="128"/>
      <c r="AS8" s="128"/>
      <c r="AT8" s="128"/>
      <c r="AU8" s="128"/>
      <c r="AV8" s="128"/>
      <c r="AW8" s="128"/>
      <c r="AX8" s="128"/>
      <c r="AY8" s="128"/>
      <c r="AZ8" s="128"/>
      <c r="BA8" s="128"/>
      <c r="BB8" s="128"/>
      <c r="BC8" s="128"/>
      <c r="BD8" s="128"/>
      <c r="BE8" s="128"/>
      <c r="BF8" s="128"/>
      <c r="BG8" s="128"/>
      <c r="BH8" s="128"/>
      <c r="BI8" s="128"/>
      <c r="BJ8" s="128"/>
      <c r="BK8" s="128"/>
      <c r="BL8" s="128"/>
      <c r="BM8" s="128"/>
      <c r="BN8" s="128"/>
      <c r="BO8" s="128"/>
      <c r="BP8" s="128"/>
      <c r="BQ8" s="128"/>
      <c r="BR8" s="128"/>
      <c r="BS8" s="128"/>
      <c r="BT8" s="128"/>
      <c r="BU8" s="128"/>
      <c r="BV8" s="128"/>
      <c r="BW8" s="128"/>
      <c r="BX8" s="128"/>
      <c r="BY8" s="128"/>
      <c r="BZ8" s="128"/>
      <c r="CA8" s="128"/>
      <c r="CB8" s="128"/>
      <c r="CC8" s="128"/>
      <c r="CD8" s="128"/>
      <c r="CE8" s="128"/>
      <c r="CF8" s="128"/>
      <c r="CG8" s="128"/>
      <c r="CH8" s="128"/>
      <c r="CI8" s="128"/>
      <c r="CJ8" s="128"/>
      <c r="CK8" s="128"/>
      <c r="CL8" s="128"/>
      <c r="CM8" s="128"/>
      <c r="CN8" s="128"/>
      <c r="CO8" s="128"/>
      <c r="CP8" s="128"/>
      <c r="CQ8" s="128"/>
      <c r="CR8" s="128"/>
      <c r="CS8" s="128"/>
      <c r="CT8" s="128"/>
      <c r="CU8" s="128"/>
      <c r="CV8" s="128"/>
      <c r="CW8" s="128"/>
      <c r="CX8" s="128"/>
      <c r="CY8" s="128"/>
      <c r="CZ8" s="128"/>
      <c r="DA8" s="128"/>
      <c r="DB8" s="128"/>
      <c r="DC8" s="128"/>
      <c r="DD8" s="128"/>
      <c r="DE8" s="128"/>
      <c r="DF8" s="128"/>
      <c r="DG8" s="128"/>
      <c r="DH8" s="128"/>
      <c r="DI8" s="128"/>
      <c r="DJ8" s="128"/>
      <c r="DK8" s="128"/>
      <c r="DL8" s="128"/>
      <c r="DM8" s="128"/>
      <c r="DN8" s="128"/>
      <c r="DO8" s="128"/>
      <c r="DP8" s="128"/>
      <c r="DQ8" s="128"/>
      <c r="DR8" s="128"/>
      <c r="DS8" s="128"/>
      <c r="DT8" s="128"/>
      <c r="DU8" s="128"/>
      <c r="DV8" s="128"/>
      <c r="DW8" s="128"/>
      <c r="DX8" s="128"/>
      <c r="DY8" s="128"/>
      <c r="DZ8" s="128"/>
      <c r="EA8" s="128"/>
      <c r="EB8" s="128"/>
      <c r="EC8" s="128"/>
      <c r="ED8" s="128"/>
      <c r="EE8" s="128"/>
      <c r="EF8" s="128"/>
      <c r="EG8" s="128"/>
      <c r="EH8" s="128"/>
      <c r="EI8" s="128"/>
      <c r="EJ8" s="128"/>
      <c r="EK8" s="128"/>
      <c r="EL8" s="128"/>
      <c r="EM8" s="128"/>
      <c r="EN8" s="128"/>
      <c r="EO8" s="128"/>
      <c r="EP8" s="128"/>
      <c r="EQ8" s="128"/>
      <c r="ER8" s="128"/>
      <c r="ES8" s="128"/>
      <c r="ET8" s="128"/>
      <c r="EU8" s="128"/>
      <c r="EV8" s="128"/>
      <c r="EW8" s="128"/>
      <c r="EX8" s="128"/>
      <c r="EY8" s="128"/>
      <c r="EZ8" s="128"/>
      <c r="FA8" s="128"/>
      <c r="FB8" s="128"/>
      <c r="FC8" s="128"/>
      <c r="FD8" s="128"/>
      <c r="FE8" s="128"/>
      <c r="FF8" s="128"/>
      <c r="FG8" s="128"/>
      <c r="FH8" s="128"/>
      <c r="FI8" s="128"/>
      <c r="FJ8" s="128"/>
      <c r="FK8" s="128"/>
      <c r="FL8" s="128"/>
      <c r="FM8" s="128"/>
      <c r="FN8" s="128"/>
      <c r="FO8" s="128"/>
      <c r="FP8" s="128"/>
      <c r="FQ8" s="128"/>
      <c r="FR8" s="128"/>
      <c r="FS8" s="128"/>
      <c r="FT8" s="128"/>
      <c r="FU8" s="128"/>
      <c r="FV8" s="128"/>
      <c r="FW8" s="128"/>
      <c r="FX8" s="128"/>
      <c r="FY8" s="128"/>
      <c r="FZ8" s="128"/>
      <c r="GA8" s="128"/>
      <c r="GB8" s="128"/>
      <c r="GC8" s="128"/>
      <c r="GD8" s="128"/>
      <c r="GE8" s="128"/>
      <c r="GF8" s="128"/>
      <c r="GG8" s="128"/>
      <c r="GH8" s="128"/>
      <c r="GI8" s="128"/>
      <c r="GJ8" s="128"/>
      <c r="GK8" s="128"/>
      <c r="GL8" s="128"/>
      <c r="GM8" s="128"/>
      <c r="GN8" s="128"/>
      <c r="GO8" s="128"/>
      <c r="GP8" s="128"/>
      <c r="GQ8" s="128"/>
      <c r="GR8" s="128"/>
      <c r="GS8" s="128"/>
      <c r="GT8" s="128"/>
      <c r="GU8" s="128"/>
      <c r="GV8" s="128"/>
      <c r="GW8" s="128"/>
      <c r="GX8" s="128"/>
      <c r="GY8" s="128"/>
      <c r="GZ8" s="128"/>
      <c r="HA8" s="128"/>
      <c r="HB8" s="128"/>
      <c r="HC8" s="128"/>
      <c r="HD8" s="128"/>
      <c r="HE8" s="128"/>
      <c r="HF8" s="128"/>
      <c r="HG8" s="128"/>
      <c r="HH8" s="128"/>
      <c r="HI8" s="128"/>
      <c r="HJ8" s="128"/>
      <c r="HK8" s="128"/>
      <c r="HL8" s="128"/>
      <c r="HM8" s="128"/>
      <c r="HN8" s="128"/>
      <c r="HO8" s="128"/>
      <c r="HP8" s="128"/>
      <c r="HQ8" s="128"/>
      <c r="HR8" s="128"/>
      <c r="HS8" s="128"/>
      <c r="HT8" s="128"/>
      <c r="HU8" s="128"/>
      <c r="HV8" s="128"/>
      <c r="HW8" s="128"/>
      <c r="HX8" s="128"/>
      <c r="HY8" s="128"/>
      <c r="HZ8" s="128"/>
      <c r="IA8" s="128"/>
      <c r="IB8" s="128"/>
      <c r="IC8" s="128"/>
      <c r="ID8" s="128"/>
      <c r="IE8" s="128"/>
      <c r="IF8" s="128"/>
      <c r="IG8" s="128"/>
      <c r="IH8" s="128"/>
      <c r="II8" s="128"/>
      <c r="IJ8" s="128"/>
      <c r="IK8" s="128"/>
      <c r="IL8" s="128"/>
      <c r="IM8" s="128"/>
      <c r="IN8" s="128"/>
      <c r="IO8" s="128"/>
      <c r="IP8" s="128"/>
      <c r="IQ8" s="128"/>
      <c r="IR8" s="128"/>
      <c r="IS8" s="128"/>
      <c r="IT8" s="128"/>
      <c r="IU8" s="128"/>
      <c r="IV8" s="128"/>
      <c r="IW8" s="128"/>
    </row>
    <row r="9" customFormat="false" ht="22.5" hidden="false" customHeight="true" outlineLevel="0" collapsed="false">
      <c r="A9" s="130" t="s">
        <v>613</v>
      </c>
      <c r="B9" s="130" t="s">
        <v>600</v>
      </c>
      <c r="C9" s="130" t="n">
        <v>100</v>
      </c>
      <c r="D9" s="130" t="n">
        <v>28</v>
      </c>
      <c r="E9" s="130" t="n">
        <v>0.077</v>
      </c>
      <c r="F9" s="130" t="n">
        <v>800</v>
      </c>
      <c r="G9" s="130" t="n">
        <v>450</v>
      </c>
      <c r="H9" s="130" t="n">
        <v>150</v>
      </c>
      <c r="I9" s="130" t="n">
        <v>40</v>
      </c>
      <c r="J9" s="130" t="s">
        <v>614</v>
      </c>
      <c r="K9" s="130" t="s">
        <v>615</v>
      </c>
      <c r="L9" s="131" t="s">
        <v>616</v>
      </c>
      <c r="M9" s="130" t="n">
        <v>150</v>
      </c>
      <c r="N9" s="132" t="s">
        <v>604</v>
      </c>
      <c r="O9" s="132" t="n">
        <v>0.35</v>
      </c>
      <c r="P9" s="133" t="s">
        <v>605</v>
      </c>
      <c r="Q9" s="133" t="n">
        <v>2.3</v>
      </c>
      <c r="R9" s="128"/>
      <c r="S9" s="128"/>
      <c r="T9" s="128"/>
      <c r="U9" s="128"/>
      <c r="V9" s="128"/>
      <c r="W9" s="128"/>
      <c r="X9" s="128"/>
      <c r="Y9" s="128"/>
      <c r="Z9" s="128"/>
      <c r="AA9" s="128"/>
      <c r="AB9" s="128"/>
      <c r="AC9" s="128"/>
      <c r="AD9" s="128"/>
      <c r="AE9" s="128"/>
      <c r="AF9" s="128"/>
      <c r="AG9" s="128"/>
      <c r="AH9" s="128"/>
      <c r="AI9" s="128"/>
      <c r="AJ9" s="128"/>
      <c r="AK9" s="128"/>
      <c r="AL9" s="128"/>
      <c r="AM9" s="128"/>
      <c r="AN9" s="128"/>
      <c r="AO9" s="128"/>
      <c r="AP9" s="128"/>
      <c r="AQ9" s="128"/>
      <c r="AR9" s="128"/>
      <c r="AS9" s="128"/>
      <c r="AT9" s="128"/>
      <c r="AU9" s="128"/>
      <c r="AV9" s="128"/>
      <c r="AW9" s="128"/>
      <c r="AX9" s="128"/>
      <c r="AY9" s="128"/>
      <c r="AZ9" s="128"/>
      <c r="BA9" s="128"/>
      <c r="BB9" s="128"/>
      <c r="BC9" s="128"/>
      <c r="BD9" s="128"/>
      <c r="BE9" s="128"/>
      <c r="BF9" s="128"/>
      <c r="BG9" s="128"/>
      <c r="BH9" s="128"/>
      <c r="BI9" s="128"/>
      <c r="BJ9" s="128"/>
      <c r="BK9" s="128"/>
      <c r="BL9" s="128"/>
      <c r="BM9" s="128"/>
      <c r="BN9" s="128"/>
      <c r="BO9" s="128"/>
      <c r="BP9" s="128"/>
      <c r="BQ9" s="128"/>
      <c r="BR9" s="128"/>
      <c r="BS9" s="128"/>
      <c r="BT9" s="128"/>
      <c r="BU9" s="128"/>
      <c r="BV9" s="128"/>
      <c r="BW9" s="128"/>
      <c r="BX9" s="128"/>
      <c r="BY9" s="128"/>
      <c r="BZ9" s="128"/>
      <c r="CA9" s="128"/>
      <c r="CB9" s="128"/>
      <c r="CC9" s="128"/>
      <c r="CD9" s="128"/>
      <c r="CE9" s="128"/>
      <c r="CF9" s="128"/>
      <c r="CG9" s="128"/>
      <c r="CH9" s="128"/>
      <c r="CI9" s="128"/>
      <c r="CJ9" s="128"/>
      <c r="CK9" s="128"/>
      <c r="CL9" s="128"/>
      <c r="CM9" s="128"/>
      <c r="CN9" s="128"/>
      <c r="CO9" s="128"/>
      <c r="CP9" s="128"/>
      <c r="CQ9" s="128"/>
      <c r="CR9" s="128"/>
      <c r="CS9" s="128"/>
      <c r="CT9" s="128"/>
      <c r="CU9" s="128"/>
      <c r="CV9" s="128"/>
      <c r="CW9" s="128"/>
      <c r="CX9" s="128"/>
      <c r="CY9" s="128"/>
      <c r="CZ9" s="128"/>
      <c r="DA9" s="128"/>
      <c r="DB9" s="128"/>
      <c r="DC9" s="128"/>
      <c r="DD9" s="128"/>
      <c r="DE9" s="128"/>
      <c r="DF9" s="128"/>
      <c r="DG9" s="128"/>
      <c r="DH9" s="128"/>
      <c r="DI9" s="128"/>
      <c r="DJ9" s="128"/>
      <c r="DK9" s="128"/>
      <c r="DL9" s="128"/>
      <c r="DM9" s="128"/>
      <c r="DN9" s="128"/>
      <c r="DO9" s="128"/>
      <c r="DP9" s="128"/>
      <c r="DQ9" s="128"/>
      <c r="DR9" s="128"/>
      <c r="DS9" s="128"/>
      <c r="DT9" s="128"/>
      <c r="DU9" s="128"/>
      <c r="DV9" s="128"/>
      <c r="DW9" s="128"/>
      <c r="DX9" s="128"/>
      <c r="DY9" s="128"/>
      <c r="DZ9" s="128"/>
      <c r="EA9" s="128"/>
      <c r="EB9" s="128"/>
      <c r="EC9" s="128"/>
      <c r="ED9" s="128"/>
      <c r="EE9" s="128"/>
      <c r="EF9" s="128"/>
      <c r="EG9" s="128"/>
      <c r="EH9" s="128"/>
      <c r="EI9" s="128"/>
      <c r="EJ9" s="128"/>
      <c r="EK9" s="128"/>
      <c r="EL9" s="128"/>
      <c r="EM9" s="128"/>
      <c r="EN9" s="128"/>
      <c r="EO9" s="128"/>
      <c r="EP9" s="128"/>
      <c r="EQ9" s="128"/>
      <c r="ER9" s="128"/>
      <c r="ES9" s="128"/>
      <c r="ET9" s="128"/>
      <c r="EU9" s="128"/>
      <c r="EV9" s="128"/>
      <c r="EW9" s="128"/>
      <c r="EX9" s="128"/>
      <c r="EY9" s="128"/>
      <c r="EZ9" s="128"/>
      <c r="FA9" s="128"/>
      <c r="FB9" s="128"/>
      <c r="FC9" s="128"/>
      <c r="FD9" s="128"/>
      <c r="FE9" s="128"/>
      <c r="FF9" s="128"/>
      <c r="FG9" s="128"/>
      <c r="FH9" s="128"/>
      <c r="FI9" s="128"/>
      <c r="FJ9" s="128"/>
      <c r="FK9" s="128"/>
      <c r="FL9" s="128"/>
      <c r="FM9" s="128"/>
      <c r="FN9" s="128"/>
      <c r="FO9" s="128"/>
      <c r="FP9" s="128"/>
      <c r="FQ9" s="128"/>
      <c r="FR9" s="128"/>
      <c r="FS9" s="128"/>
      <c r="FT9" s="128"/>
      <c r="FU9" s="128"/>
      <c r="FV9" s="128"/>
      <c r="FW9" s="128"/>
      <c r="FX9" s="128"/>
      <c r="FY9" s="128"/>
      <c r="FZ9" s="128"/>
      <c r="GA9" s="128"/>
      <c r="GB9" s="128"/>
      <c r="GC9" s="128"/>
      <c r="GD9" s="128"/>
      <c r="GE9" s="128"/>
      <c r="GF9" s="128"/>
      <c r="GG9" s="128"/>
      <c r="GH9" s="128"/>
      <c r="GI9" s="128"/>
      <c r="GJ9" s="128"/>
      <c r="GK9" s="128"/>
      <c r="GL9" s="128"/>
      <c r="GM9" s="128"/>
      <c r="GN9" s="128"/>
      <c r="GO9" s="128"/>
      <c r="GP9" s="128"/>
      <c r="GQ9" s="128"/>
      <c r="GR9" s="128"/>
      <c r="GS9" s="128"/>
      <c r="GT9" s="128"/>
      <c r="GU9" s="128"/>
      <c r="GV9" s="128"/>
      <c r="GW9" s="128"/>
      <c r="GX9" s="128"/>
      <c r="GY9" s="128"/>
      <c r="GZ9" s="128"/>
      <c r="HA9" s="128"/>
      <c r="HB9" s="128"/>
      <c r="HC9" s="128"/>
      <c r="HD9" s="128"/>
      <c r="HE9" s="128"/>
      <c r="HF9" s="128"/>
      <c r="HG9" s="128"/>
      <c r="HH9" s="128"/>
      <c r="HI9" s="128"/>
      <c r="HJ9" s="128"/>
      <c r="HK9" s="128"/>
      <c r="HL9" s="128"/>
      <c r="HM9" s="128"/>
      <c r="HN9" s="128"/>
      <c r="HO9" s="128"/>
      <c r="HP9" s="128"/>
      <c r="HQ9" s="128"/>
      <c r="HR9" s="128"/>
      <c r="HS9" s="128"/>
      <c r="HT9" s="128"/>
      <c r="HU9" s="128"/>
      <c r="HV9" s="128"/>
      <c r="HW9" s="128"/>
      <c r="HX9" s="128"/>
      <c r="HY9" s="128"/>
      <c r="HZ9" s="128"/>
      <c r="IA9" s="128"/>
      <c r="IB9" s="128"/>
      <c r="IC9" s="128"/>
      <c r="ID9" s="128"/>
      <c r="IE9" s="128"/>
      <c r="IF9" s="128"/>
      <c r="IG9" s="128"/>
      <c r="IH9" s="128"/>
      <c r="II9" s="128"/>
      <c r="IJ9" s="128"/>
      <c r="IK9" s="128"/>
      <c r="IL9" s="128"/>
      <c r="IM9" s="128"/>
      <c r="IN9" s="128"/>
      <c r="IO9" s="128"/>
      <c r="IP9" s="128"/>
      <c r="IQ9" s="128"/>
      <c r="IR9" s="128"/>
      <c r="IS9" s="128"/>
      <c r="IT9" s="128"/>
      <c r="IU9" s="128"/>
      <c r="IV9" s="128"/>
      <c r="IW9" s="128"/>
    </row>
    <row r="10" customFormat="false" ht="22.5" hidden="false" customHeight="true" outlineLevel="0" collapsed="false">
      <c r="A10" s="130" t="s">
        <v>617</v>
      </c>
      <c r="B10" s="130" t="s">
        <v>600</v>
      </c>
      <c r="C10" s="130" t="n">
        <v>55</v>
      </c>
      <c r="D10" s="130" t="n">
        <v>49</v>
      </c>
      <c r="E10" s="130" t="n">
        <v>0.028</v>
      </c>
      <c r="F10" s="130" t="n">
        <v>3050</v>
      </c>
      <c r="G10" s="130" t="n">
        <v>930</v>
      </c>
      <c r="H10" s="130" t="n">
        <v>107</v>
      </c>
      <c r="I10" s="130" t="n">
        <v>30</v>
      </c>
      <c r="J10" s="130" t="s">
        <v>618</v>
      </c>
      <c r="K10" s="130" t="s">
        <v>619</v>
      </c>
      <c r="L10" s="131" t="s">
        <v>620</v>
      </c>
      <c r="M10" s="130" t="n">
        <v>150</v>
      </c>
      <c r="N10" s="132" t="s">
        <v>604</v>
      </c>
      <c r="O10" s="132" t="n">
        <v>0.35</v>
      </c>
      <c r="P10" s="133" t="s">
        <v>605</v>
      </c>
      <c r="Q10" s="133" t="n">
        <v>2.3</v>
      </c>
      <c r="R10" s="128"/>
      <c r="S10" s="128"/>
      <c r="T10" s="128"/>
      <c r="U10" s="128"/>
      <c r="V10" s="128"/>
      <c r="W10" s="128"/>
      <c r="X10" s="128"/>
      <c r="Y10" s="128"/>
      <c r="Z10" s="128"/>
      <c r="AA10" s="128"/>
      <c r="AB10" s="128"/>
      <c r="AC10" s="128"/>
      <c r="AD10" s="128"/>
      <c r="AE10" s="128"/>
      <c r="AF10" s="128"/>
      <c r="AG10" s="128"/>
      <c r="AH10" s="128"/>
      <c r="AI10" s="128"/>
      <c r="AJ10" s="128"/>
      <c r="AK10" s="128"/>
      <c r="AL10" s="128"/>
      <c r="AM10" s="128"/>
      <c r="AN10" s="128"/>
      <c r="AO10" s="128"/>
      <c r="AP10" s="128"/>
      <c r="AQ10" s="128"/>
      <c r="AR10" s="128"/>
      <c r="AS10" s="128"/>
      <c r="AT10" s="128"/>
      <c r="AU10" s="128"/>
      <c r="AV10" s="128"/>
      <c r="AW10" s="128"/>
      <c r="AX10" s="128"/>
      <c r="AY10" s="128"/>
      <c r="AZ10" s="128"/>
      <c r="BA10" s="128"/>
      <c r="BB10" s="128"/>
      <c r="BC10" s="128"/>
      <c r="BD10" s="128"/>
      <c r="BE10" s="128"/>
      <c r="BF10" s="128"/>
      <c r="BG10" s="128"/>
      <c r="BH10" s="128"/>
      <c r="BI10" s="128"/>
      <c r="BJ10" s="128"/>
      <c r="BK10" s="128"/>
      <c r="BL10" s="128"/>
      <c r="BM10" s="128"/>
      <c r="BN10" s="128"/>
      <c r="BO10" s="128"/>
      <c r="BP10" s="128"/>
      <c r="BQ10" s="128"/>
      <c r="BR10" s="128"/>
      <c r="BS10" s="128"/>
      <c r="BT10" s="128"/>
      <c r="BU10" s="128"/>
      <c r="BV10" s="128"/>
      <c r="BW10" s="128"/>
      <c r="BX10" s="128"/>
      <c r="BY10" s="128"/>
      <c r="BZ10" s="128"/>
      <c r="CA10" s="128"/>
      <c r="CB10" s="128"/>
      <c r="CC10" s="128"/>
      <c r="CD10" s="128"/>
      <c r="CE10" s="128"/>
      <c r="CF10" s="128"/>
      <c r="CG10" s="128"/>
      <c r="CH10" s="128"/>
      <c r="CI10" s="128"/>
      <c r="CJ10" s="128"/>
      <c r="CK10" s="128"/>
      <c r="CL10" s="128"/>
      <c r="CM10" s="128"/>
      <c r="CN10" s="128"/>
      <c r="CO10" s="128"/>
      <c r="CP10" s="128"/>
      <c r="CQ10" s="128"/>
      <c r="CR10" s="128"/>
      <c r="CS10" s="128"/>
      <c r="CT10" s="128"/>
      <c r="CU10" s="128"/>
      <c r="CV10" s="128"/>
      <c r="CW10" s="128"/>
      <c r="CX10" s="128"/>
      <c r="CY10" s="128"/>
      <c r="CZ10" s="128"/>
      <c r="DA10" s="128"/>
      <c r="DB10" s="128"/>
      <c r="DC10" s="128"/>
      <c r="DD10" s="128"/>
      <c r="DE10" s="128"/>
      <c r="DF10" s="128"/>
      <c r="DG10" s="128"/>
      <c r="DH10" s="128"/>
      <c r="DI10" s="128"/>
      <c r="DJ10" s="128"/>
      <c r="DK10" s="128"/>
      <c r="DL10" s="128"/>
      <c r="DM10" s="128"/>
      <c r="DN10" s="128"/>
      <c r="DO10" s="128"/>
      <c r="DP10" s="128"/>
      <c r="DQ10" s="128"/>
      <c r="DR10" s="128"/>
      <c r="DS10" s="128"/>
      <c r="DT10" s="128"/>
      <c r="DU10" s="128"/>
      <c r="DV10" s="128"/>
      <c r="DW10" s="128"/>
      <c r="DX10" s="128"/>
      <c r="DY10" s="128"/>
      <c r="DZ10" s="128"/>
      <c r="EA10" s="128"/>
      <c r="EB10" s="128"/>
      <c r="EC10" s="128"/>
      <c r="ED10" s="128"/>
      <c r="EE10" s="128"/>
      <c r="EF10" s="128"/>
      <c r="EG10" s="128"/>
      <c r="EH10" s="128"/>
      <c r="EI10" s="128"/>
      <c r="EJ10" s="128"/>
      <c r="EK10" s="128"/>
      <c r="EL10" s="128"/>
      <c r="EM10" s="128"/>
      <c r="EN10" s="128"/>
      <c r="EO10" s="128"/>
      <c r="EP10" s="128"/>
      <c r="EQ10" s="128"/>
      <c r="ER10" s="128"/>
      <c r="ES10" s="128"/>
      <c r="ET10" s="128"/>
      <c r="EU10" s="128"/>
      <c r="EV10" s="128"/>
      <c r="EW10" s="128"/>
      <c r="EX10" s="128"/>
      <c r="EY10" s="128"/>
      <c r="EZ10" s="128"/>
      <c r="FA10" s="128"/>
      <c r="FB10" s="128"/>
      <c r="FC10" s="128"/>
      <c r="FD10" s="128"/>
      <c r="FE10" s="128"/>
      <c r="FF10" s="128"/>
      <c r="FG10" s="128"/>
      <c r="FH10" s="128"/>
      <c r="FI10" s="128"/>
      <c r="FJ10" s="128"/>
      <c r="FK10" s="128"/>
      <c r="FL10" s="128"/>
      <c r="FM10" s="128"/>
      <c r="FN10" s="128"/>
      <c r="FO10" s="128"/>
      <c r="FP10" s="128"/>
      <c r="FQ10" s="128"/>
      <c r="FR10" s="128"/>
      <c r="FS10" s="128"/>
      <c r="FT10" s="128"/>
      <c r="FU10" s="128"/>
      <c r="FV10" s="128"/>
      <c r="FW10" s="128"/>
      <c r="FX10" s="128"/>
      <c r="FY10" s="128"/>
      <c r="FZ10" s="128"/>
      <c r="GA10" s="128"/>
      <c r="GB10" s="128"/>
      <c r="GC10" s="128"/>
      <c r="GD10" s="128"/>
      <c r="GE10" s="128"/>
      <c r="GF10" s="128"/>
      <c r="GG10" s="128"/>
      <c r="GH10" s="128"/>
      <c r="GI10" s="128"/>
      <c r="GJ10" s="128"/>
      <c r="GK10" s="128"/>
      <c r="GL10" s="128"/>
      <c r="GM10" s="128"/>
      <c r="GN10" s="128"/>
      <c r="GO10" s="128"/>
      <c r="GP10" s="128"/>
      <c r="GQ10" s="128"/>
      <c r="GR10" s="128"/>
      <c r="GS10" s="128"/>
      <c r="GT10" s="128"/>
      <c r="GU10" s="128"/>
      <c r="GV10" s="128"/>
      <c r="GW10" s="128"/>
      <c r="GX10" s="128"/>
      <c r="GY10" s="128"/>
      <c r="GZ10" s="128"/>
      <c r="HA10" s="128"/>
      <c r="HB10" s="128"/>
      <c r="HC10" s="128"/>
      <c r="HD10" s="128"/>
      <c r="HE10" s="128"/>
      <c r="HF10" s="128"/>
      <c r="HG10" s="128"/>
      <c r="HH10" s="128"/>
      <c r="HI10" s="128"/>
      <c r="HJ10" s="128"/>
      <c r="HK10" s="128"/>
      <c r="HL10" s="128"/>
      <c r="HM10" s="128"/>
      <c r="HN10" s="128"/>
      <c r="HO10" s="128"/>
      <c r="HP10" s="128"/>
      <c r="HQ10" s="128"/>
      <c r="HR10" s="128"/>
      <c r="HS10" s="128"/>
      <c r="HT10" s="128"/>
      <c r="HU10" s="128"/>
      <c r="HV10" s="128"/>
      <c r="HW10" s="128"/>
      <c r="HX10" s="128"/>
      <c r="HY10" s="128"/>
      <c r="HZ10" s="128"/>
      <c r="IA10" s="128"/>
      <c r="IB10" s="128"/>
      <c r="IC10" s="128"/>
      <c r="ID10" s="128"/>
      <c r="IE10" s="128"/>
      <c r="IF10" s="128"/>
      <c r="IG10" s="128"/>
      <c r="IH10" s="128"/>
      <c r="II10" s="128"/>
      <c r="IJ10" s="128"/>
      <c r="IK10" s="128"/>
      <c r="IL10" s="128"/>
      <c r="IM10" s="128"/>
      <c r="IN10" s="128"/>
      <c r="IO10" s="128"/>
      <c r="IP10" s="128"/>
      <c r="IQ10" s="128"/>
      <c r="IR10" s="128"/>
      <c r="IS10" s="128"/>
      <c r="IT10" s="128"/>
      <c r="IU10" s="128"/>
      <c r="IV10" s="128"/>
      <c r="IW10" s="128"/>
    </row>
    <row r="11" customFormat="false" ht="22.5" hidden="false" customHeight="true" outlineLevel="0" collapsed="false">
      <c r="A11" s="130" t="s">
        <v>621</v>
      </c>
      <c r="B11" s="130" t="s">
        <v>600</v>
      </c>
      <c r="C11" s="130" t="n">
        <v>100</v>
      </c>
      <c r="D11" s="130" t="n">
        <v>13</v>
      </c>
      <c r="E11" s="130" t="n">
        <v>0.18</v>
      </c>
      <c r="F11" s="130" t="n">
        <v>1060</v>
      </c>
      <c r="G11" s="130" t="n">
        <v>380</v>
      </c>
      <c r="H11" s="130" t="n">
        <v>88</v>
      </c>
      <c r="I11" s="130" t="n">
        <v>60</v>
      </c>
      <c r="J11" s="130" t="s">
        <v>622</v>
      </c>
      <c r="K11" s="130" t="s">
        <v>611</v>
      </c>
      <c r="L11" s="131" t="s">
        <v>623</v>
      </c>
      <c r="M11" s="130" t="n">
        <v>150</v>
      </c>
      <c r="N11" s="132" t="s">
        <v>604</v>
      </c>
      <c r="O11" s="132" t="n">
        <v>0.35</v>
      </c>
      <c r="P11" s="133" t="s">
        <v>605</v>
      </c>
      <c r="Q11" s="133" t="n">
        <v>2.3</v>
      </c>
      <c r="R11" s="128"/>
      <c r="S11" s="128"/>
      <c r="T11" s="128"/>
      <c r="U11" s="128"/>
      <c r="V11" s="128"/>
      <c r="W11" s="128"/>
      <c r="X11" s="128"/>
      <c r="Y11" s="128"/>
      <c r="Z11" s="128"/>
      <c r="AA11" s="128"/>
      <c r="AB11" s="128"/>
      <c r="AC11" s="128"/>
      <c r="AD11" s="128"/>
      <c r="AE11" s="128"/>
      <c r="AF11" s="128"/>
      <c r="AG11" s="128"/>
      <c r="AH11" s="128"/>
      <c r="AI11" s="128"/>
      <c r="AJ11" s="128"/>
      <c r="AK11" s="128"/>
      <c r="AL11" s="128"/>
      <c r="AM11" s="128"/>
      <c r="AN11" s="128"/>
      <c r="AO11" s="128"/>
      <c r="AP11" s="128"/>
      <c r="AQ11" s="128"/>
      <c r="AR11" s="128"/>
      <c r="AS11" s="128"/>
      <c r="AT11" s="128"/>
      <c r="AU11" s="128"/>
      <c r="AV11" s="128"/>
      <c r="AW11" s="128"/>
      <c r="AX11" s="128"/>
      <c r="AY11" s="128"/>
      <c r="AZ11" s="128"/>
      <c r="BA11" s="128"/>
      <c r="BB11" s="128"/>
      <c r="BC11" s="128"/>
      <c r="BD11" s="128"/>
      <c r="BE11" s="128"/>
      <c r="BF11" s="128"/>
      <c r="BG11" s="128"/>
      <c r="BH11" s="128"/>
      <c r="BI11" s="128"/>
      <c r="BJ11" s="128"/>
      <c r="BK11" s="128"/>
      <c r="BL11" s="128"/>
      <c r="BM11" s="128"/>
      <c r="BN11" s="128"/>
      <c r="BO11" s="128"/>
      <c r="BP11" s="128"/>
      <c r="BQ11" s="128"/>
      <c r="BR11" s="128"/>
      <c r="BS11" s="128"/>
      <c r="BT11" s="128"/>
      <c r="BU11" s="128"/>
      <c r="BV11" s="128"/>
      <c r="BW11" s="128"/>
      <c r="BX11" s="128"/>
      <c r="BY11" s="128"/>
      <c r="BZ11" s="128"/>
      <c r="CA11" s="128"/>
      <c r="CB11" s="128"/>
      <c r="CC11" s="128"/>
      <c r="CD11" s="128"/>
      <c r="CE11" s="128"/>
      <c r="CF11" s="128"/>
      <c r="CG11" s="128"/>
      <c r="CH11" s="128"/>
      <c r="CI11" s="128"/>
      <c r="CJ11" s="128"/>
      <c r="CK11" s="128"/>
      <c r="CL11" s="128"/>
      <c r="CM11" s="128"/>
      <c r="CN11" s="128"/>
      <c r="CO11" s="128"/>
      <c r="CP11" s="128"/>
      <c r="CQ11" s="128"/>
      <c r="CR11" s="128"/>
      <c r="CS11" s="128"/>
      <c r="CT11" s="128"/>
      <c r="CU11" s="128"/>
      <c r="CV11" s="128"/>
      <c r="CW11" s="128"/>
      <c r="CX11" s="128"/>
      <c r="CY11" s="128"/>
      <c r="CZ11" s="128"/>
      <c r="DA11" s="128"/>
      <c r="DB11" s="128"/>
      <c r="DC11" s="128"/>
      <c r="DD11" s="128"/>
      <c r="DE11" s="128"/>
      <c r="DF11" s="128"/>
      <c r="DG11" s="128"/>
      <c r="DH11" s="128"/>
      <c r="DI11" s="128"/>
      <c r="DJ11" s="128"/>
      <c r="DK11" s="128"/>
      <c r="DL11" s="128"/>
      <c r="DM11" s="128"/>
      <c r="DN11" s="128"/>
      <c r="DO11" s="128"/>
      <c r="DP11" s="128"/>
      <c r="DQ11" s="128"/>
      <c r="DR11" s="128"/>
      <c r="DS11" s="128"/>
      <c r="DT11" s="128"/>
      <c r="DU11" s="128"/>
      <c r="DV11" s="128"/>
      <c r="DW11" s="128"/>
      <c r="DX11" s="128"/>
      <c r="DY11" s="128"/>
      <c r="DZ11" s="128"/>
      <c r="EA11" s="128"/>
      <c r="EB11" s="128"/>
      <c r="EC11" s="128"/>
      <c r="ED11" s="128"/>
      <c r="EE11" s="128"/>
      <c r="EF11" s="128"/>
      <c r="EG11" s="128"/>
      <c r="EH11" s="128"/>
      <c r="EI11" s="128"/>
      <c r="EJ11" s="128"/>
      <c r="EK11" s="128"/>
      <c r="EL11" s="128"/>
      <c r="EM11" s="128"/>
      <c r="EN11" s="128"/>
      <c r="EO11" s="128"/>
      <c r="EP11" s="128"/>
      <c r="EQ11" s="128"/>
      <c r="ER11" s="128"/>
      <c r="ES11" s="128"/>
      <c r="ET11" s="128"/>
      <c r="EU11" s="128"/>
      <c r="EV11" s="128"/>
      <c r="EW11" s="128"/>
      <c r="EX11" s="128"/>
      <c r="EY11" s="128"/>
      <c r="EZ11" s="128"/>
      <c r="FA11" s="128"/>
      <c r="FB11" s="128"/>
      <c r="FC11" s="128"/>
      <c r="FD11" s="128"/>
      <c r="FE11" s="128"/>
      <c r="FF11" s="128"/>
      <c r="FG11" s="128"/>
      <c r="FH11" s="128"/>
      <c r="FI11" s="128"/>
      <c r="FJ11" s="128"/>
      <c r="FK11" s="128"/>
      <c r="FL11" s="128"/>
      <c r="FM11" s="128"/>
      <c r="FN11" s="128"/>
      <c r="FO11" s="128"/>
      <c r="FP11" s="128"/>
      <c r="FQ11" s="128"/>
      <c r="FR11" s="128"/>
      <c r="FS11" s="128"/>
      <c r="FT11" s="128"/>
      <c r="FU11" s="128"/>
      <c r="FV11" s="128"/>
      <c r="FW11" s="128"/>
      <c r="FX11" s="128"/>
      <c r="FY11" s="128"/>
      <c r="FZ11" s="128"/>
      <c r="GA11" s="128"/>
      <c r="GB11" s="128"/>
      <c r="GC11" s="128"/>
      <c r="GD11" s="128"/>
      <c r="GE11" s="128"/>
      <c r="GF11" s="128"/>
      <c r="GG11" s="128"/>
      <c r="GH11" s="128"/>
      <c r="GI11" s="128"/>
      <c r="GJ11" s="128"/>
      <c r="GK11" s="128"/>
      <c r="GL11" s="128"/>
      <c r="GM11" s="128"/>
      <c r="GN11" s="128"/>
      <c r="GO11" s="128"/>
      <c r="GP11" s="128"/>
      <c r="GQ11" s="128"/>
      <c r="GR11" s="128"/>
      <c r="GS11" s="128"/>
      <c r="GT11" s="128"/>
      <c r="GU11" s="128"/>
      <c r="GV11" s="128"/>
      <c r="GW11" s="128"/>
      <c r="GX11" s="128"/>
      <c r="GY11" s="128"/>
      <c r="GZ11" s="128"/>
      <c r="HA11" s="128"/>
      <c r="HB11" s="128"/>
      <c r="HC11" s="128"/>
      <c r="HD11" s="128"/>
      <c r="HE11" s="128"/>
      <c r="HF11" s="128"/>
      <c r="HG11" s="128"/>
      <c r="HH11" s="128"/>
      <c r="HI11" s="128"/>
      <c r="HJ11" s="128"/>
      <c r="HK11" s="128"/>
      <c r="HL11" s="128"/>
      <c r="HM11" s="128"/>
      <c r="HN11" s="128"/>
      <c r="HO11" s="128"/>
      <c r="HP11" s="128"/>
      <c r="HQ11" s="128"/>
      <c r="HR11" s="128"/>
      <c r="HS11" s="128"/>
      <c r="HT11" s="128"/>
      <c r="HU11" s="128"/>
      <c r="HV11" s="128"/>
      <c r="HW11" s="128"/>
      <c r="HX11" s="128"/>
      <c r="HY11" s="128"/>
      <c r="HZ11" s="128"/>
      <c r="IA11" s="128"/>
      <c r="IB11" s="128"/>
      <c r="IC11" s="128"/>
      <c r="ID11" s="128"/>
      <c r="IE11" s="128"/>
      <c r="IF11" s="128"/>
      <c r="IG11" s="128"/>
      <c r="IH11" s="128"/>
      <c r="II11" s="128"/>
      <c r="IJ11" s="128"/>
      <c r="IK11" s="128"/>
      <c r="IL11" s="128"/>
      <c r="IM11" s="128"/>
      <c r="IN11" s="128"/>
      <c r="IO11" s="128"/>
      <c r="IP11" s="128"/>
      <c r="IQ11" s="128"/>
      <c r="IR11" s="128"/>
      <c r="IS11" s="128"/>
      <c r="IT11" s="128"/>
      <c r="IU11" s="128"/>
      <c r="IV11" s="128"/>
      <c r="IW11" s="128"/>
    </row>
    <row r="12" customFormat="false" ht="22.5" hidden="false" customHeight="true" outlineLevel="0" collapsed="false">
      <c r="A12" s="130" t="s">
        <v>624</v>
      </c>
      <c r="B12" s="130" t="s">
        <v>625</v>
      </c>
      <c r="C12" s="130" t="n">
        <v>50</v>
      </c>
      <c r="D12" s="130" t="n">
        <v>5.5</v>
      </c>
      <c r="E12" s="130" t="s">
        <v>18</v>
      </c>
      <c r="F12" s="130" t="n">
        <v>80</v>
      </c>
      <c r="G12" s="130" t="n">
        <v>15</v>
      </c>
      <c r="H12" s="130" t="n">
        <v>25</v>
      </c>
      <c r="I12" s="130" t="n">
        <v>520</v>
      </c>
      <c r="J12" s="130" t="s">
        <v>626</v>
      </c>
      <c r="K12" s="130" t="s">
        <v>627</v>
      </c>
      <c r="L12" s="131" t="s">
        <v>628</v>
      </c>
      <c r="M12" s="130" t="n">
        <v>200</v>
      </c>
      <c r="N12" s="132" t="s">
        <v>629</v>
      </c>
      <c r="O12" s="132" t="n">
        <v>0.85</v>
      </c>
      <c r="P12" s="133" t="s">
        <v>630</v>
      </c>
      <c r="Q12" s="133" t="n">
        <v>2.3</v>
      </c>
      <c r="R12" s="128"/>
      <c r="S12" s="128"/>
      <c r="T12" s="128"/>
      <c r="U12" s="128"/>
      <c r="V12" s="128"/>
      <c r="W12" s="128"/>
      <c r="X12" s="128"/>
      <c r="Y12" s="128"/>
      <c r="Z12" s="128"/>
      <c r="AA12" s="128"/>
      <c r="AB12" s="128"/>
      <c r="AC12" s="128"/>
      <c r="AD12" s="128"/>
      <c r="AE12" s="128"/>
      <c r="AF12" s="128"/>
      <c r="AG12" s="128"/>
      <c r="AH12" s="128"/>
      <c r="AI12" s="128"/>
      <c r="AJ12" s="128"/>
      <c r="AK12" s="128"/>
      <c r="AL12" s="128"/>
      <c r="AM12" s="128"/>
      <c r="AN12" s="128"/>
      <c r="AO12" s="128"/>
      <c r="AP12" s="128"/>
      <c r="AQ12" s="128"/>
      <c r="AR12" s="128"/>
      <c r="AS12" s="128"/>
      <c r="AT12" s="128"/>
      <c r="AU12" s="128"/>
      <c r="AV12" s="128"/>
      <c r="AW12" s="128"/>
      <c r="AX12" s="128"/>
      <c r="AY12" s="128"/>
      <c r="AZ12" s="128"/>
      <c r="BA12" s="128"/>
      <c r="BB12" s="128"/>
      <c r="BC12" s="128"/>
      <c r="BD12" s="128"/>
      <c r="BE12" s="128"/>
      <c r="BF12" s="128"/>
      <c r="BG12" s="128"/>
      <c r="BH12" s="128"/>
      <c r="BI12" s="128"/>
      <c r="BJ12" s="128"/>
      <c r="BK12" s="128"/>
      <c r="BL12" s="128"/>
      <c r="BM12" s="128"/>
      <c r="BN12" s="128"/>
      <c r="BO12" s="128"/>
      <c r="BP12" s="128"/>
      <c r="BQ12" s="128"/>
      <c r="BR12" s="128"/>
      <c r="BS12" s="128"/>
      <c r="BT12" s="128"/>
      <c r="BU12" s="128"/>
      <c r="BV12" s="128"/>
      <c r="BW12" s="128"/>
      <c r="BX12" s="128"/>
      <c r="BY12" s="128"/>
      <c r="BZ12" s="128"/>
      <c r="CA12" s="128"/>
      <c r="CB12" s="128"/>
      <c r="CC12" s="128"/>
      <c r="CD12" s="128"/>
      <c r="CE12" s="128"/>
      <c r="CF12" s="128"/>
      <c r="CG12" s="128"/>
      <c r="CH12" s="128"/>
      <c r="CI12" s="128"/>
      <c r="CJ12" s="128"/>
      <c r="CK12" s="128"/>
      <c r="CL12" s="128"/>
      <c r="CM12" s="128"/>
      <c r="CN12" s="128"/>
      <c r="CO12" s="128"/>
      <c r="CP12" s="128"/>
      <c r="CQ12" s="128"/>
      <c r="CR12" s="128"/>
      <c r="CS12" s="128"/>
      <c r="CT12" s="128"/>
      <c r="CU12" s="128"/>
      <c r="CV12" s="128"/>
      <c r="CW12" s="128"/>
      <c r="CX12" s="128"/>
      <c r="CY12" s="128"/>
      <c r="CZ12" s="128"/>
      <c r="DA12" s="128"/>
      <c r="DB12" s="128"/>
      <c r="DC12" s="128"/>
      <c r="DD12" s="128"/>
      <c r="DE12" s="128"/>
      <c r="DF12" s="128"/>
      <c r="DG12" s="128"/>
      <c r="DH12" s="128"/>
      <c r="DI12" s="128"/>
      <c r="DJ12" s="128"/>
      <c r="DK12" s="128"/>
      <c r="DL12" s="128"/>
      <c r="DM12" s="128"/>
      <c r="DN12" s="128"/>
      <c r="DO12" s="128"/>
      <c r="DP12" s="128"/>
      <c r="DQ12" s="128"/>
      <c r="DR12" s="128"/>
      <c r="DS12" s="128"/>
      <c r="DT12" s="128"/>
      <c r="DU12" s="128"/>
      <c r="DV12" s="128"/>
      <c r="DW12" s="128"/>
      <c r="DX12" s="128"/>
      <c r="DY12" s="128"/>
      <c r="DZ12" s="128"/>
      <c r="EA12" s="128"/>
      <c r="EB12" s="128"/>
      <c r="EC12" s="128"/>
      <c r="ED12" s="128"/>
      <c r="EE12" s="128"/>
      <c r="EF12" s="128"/>
      <c r="EG12" s="128"/>
      <c r="EH12" s="128"/>
      <c r="EI12" s="128"/>
      <c r="EJ12" s="128"/>
      <c r="EK12" s="128"/>
      <c r="EL12" s="128"/>
      <c r="EM12" s="128"/>
      <c r="EN12" s="128"/>
      <c r="EO12" s="128"/>
      <c r="EP12" s="128"/>
      <c r="EQ12" s="128"/>
      <c r="ER12" s="128"/>
      <c r="ES12" s="128"/>
      <c r="ET12" s="128"/>
      <c r="EU12" s="128"/>
      <c r="EV12" s="128"/>
      <c r="EW12" s="128"/>
      <c r="EX12" s="128"/>
      <c r="EY12" s="128"/>
      <c r="EZ12" s="128"/>
      <c r="FA12" s="128"/>
      <c r="FB12" s="128"/>
      <c r="FC12" s="128"/>
      <c r="FD12" s="128"/>
      <c r="FE12" s="128"/>
      <c r="FF12" s="128"/>
      <c r="FG12" s="128"/>
      <c r="FH12" s="128"/>
      <c r="FI12" s="128"/>
      <c r="FJ12" s="128"/>
      <c r="FK12" s="128"/>
      <c r="FL12" s="128"/>
      <c r="FM12" s="128"/>
      <c r="FN12" s="128"/>
      <c r="FO12" s="128"/>
      <c r="FP12" s="128"/>
      <c r="FQ12" s="128"/>
      <c r="FR12" s="128"/>
      <c r="FS12" s="128"/>
      <c r="FT12" s="128"/>
      <c r="FU12" s="128"/>
      <c r="FV12" s="128"/>
      <c r="FW12" s="128"/>
      <c r="FX12" s="128"/>
      <c r="FY12" s="128"/>
      <c r="FZ12" s="128"/>
      <c r="GA12" s="128"/>
      <c r="GB12" s="128"/>
      <c r="GC12" s="128"/>
      <c r="GD12" s="128"/>
      <c r="GE12" s="128"/>
      <c r="GF12" s="128"/>
      <c r="GG12" s="128"/>
      <c r="GH12" s="128"/>
      <c r="GI12" s="128"/>
      <c r="GJ12" s="128"/>
      <c r="GK12" s="128"/>
      <c r="GL12" s="128"/>
      <c r="GM12" s="128"/>
      <c r="GN12" s="128"/>
      <c r="GO12" s="128"/>
      <c r="GP12" s="128"/>
      <c r="GQ12" s="128"/>
      <c r="GR12" s="128"/>
      <c r="GS12" s="128"/>
      <c r="GT12" s="128"/>
      <c r="GU12" s="128"/>
      <c r="GV12" s="128"/>
      <c r="GW12" s="128"/>
      <c r="GX12" s="128"/>
      <c r="GY12" s="128"/>
      <c r="GZ12" s="128"/>
      <c r="HA12" s="128"/>
      <c r="HB12" s="128"/>
      <c r="HC12" s="128"/>
      <c r="HD12" s="128"/>
      <c r="HE12" s="128"/>
      <c r="HF12" s="128"/>
      <c r="HG12" s="128"/>
      <c r="HH12" s="128"/>
      <c r="HI12" s="128"/>
      <c r="HJ12" s="128"/>
      <c r="HK12" s="128"/>
      <c r="HL12" s="128"/>
      <c r="HM12" s="128"/>
      <c r="HN12" s="128"/>
      <c r="HO12" s="128"/>
      <c r="HP12" s="128"/>
      <c r="HQ12" s="128"/>
      <c r="HR12" s="128"/>
      <c r="HS12" s="128"/>
      <c r="HT12" s="128"/>
      <c r="HU12" s="128"/>
      <c r="HV12" s="128"/>
      <c r="HW12" s="128"/>
      <c r="HX12" s="128"/>
      <c r="HY12" s="128"/>
      <c r="HZ12" s="128"/>
      <c r="IA12" s="128"/>
      <c r="IB12" s="128"/>
      <c r="IC12" s="128"/>
      <c r="ID12" s="128"/>
      <c r="IE12" s="128"/>
      <c r="IF12" s="128"/>
      <c r="IG12" s="128"/>
      <c r="IH12" s="128"/>
      <c r="II12" s="128"/>
      <c r="IJ12" s="128"/>
      <c r="IK12" s="128"/>
      <c r="IL12" s="128"/>
      <c r="IM12" s="128"/>
      <c r="IN12" s="128"/>
      <c r="IO12" s="128"/>
      <c r="IP12" s="128"/>
      <c r="IQ12" s="128"/>
      <c r="IR12" s="128"/>
      <c r="IS12" s="128"/>
      <c r="IT12" s="128"/>
      <c r="IU12" s="128"/>
      <c r="IV12" s="128"/>
      <c r="IW12" s="128"/>
    </row>
    <row r="13" customFormat="false" ht="22.5" hidden="false" customHeight="true" outlineLevel="0" collapsed="false">
      <c r="A13" s="130" t="s">
        <v>631</v>
      </c>
      <c r="B13" s="130" t="s">
        <v>625</v>
      </c>
      <c r="C13" s="130" t="n">
        <v>50</v>
      </c>
      <c r="D13" s="130" t="n">
        <v>2</v>
      </c>
      <c r="E13" s="130" t="s">
        <v>18</v>
      </c>
      <c r="F13" s="130" t="n">
        <v>44</v>
      </c>
      <c r="G13" s="130" t="n">
        <v>9</v>
      </c>
      <c r="H13" s="130" t="n">
        <v>12.5</v>
      </c>
      <c r="I13" s="130" t="n">
        <v>520</v>
      </c>
      <c r="J13" s="130" t="s">
        <v>632</v>
      </c>
      <c r="K13" s="130" t="s">
        <v>627</v>
      </c>
      <c r="L13" s="131" t="s">
        <v>633</v>
      </c>
      <c r="M13" s="130" t="n">
        <v>200</v>
      </c>
      <c r="N13" s="132" t="s">
        <v>629</v>
      </c>
      <c r="O13" s="132" t="n">
        <v>0.85</v>
      </c>
      <c r="P13" s="133" t="s">
        <v>630</v>
      </c>
      <c r="Q13" s="133" t="n">
        <v>2.3</v>
      </c>
      <c r="R13" s="128"/>
      <c r="S13" s="128"/>
      <c r="T13" s="128"/>
      <c r="U13" s="128"/>
      <c r="V13" s="128"/>
      <c r="W13" s="128"/>
      <c r="X13" s="128"/>
      <c r="Y13" s="128"/>
      <c r="Z13" s="128"/>
      <c r="AA13" s="128"/>
      <c r="AB13" s="128"/>
      <c r="AC13" s="128"/>
      <c r="AD13" s="128"/>
      <c r="AE13" s="128"/>
      <c r="AF13" s="128"/>
      <c r="AG13" s="128"/>
      <c r="AH13" s="128"/>
      <c r="AI13" s="128"/>
      <c r="AJ13" s="128"/>
      <c r="AK13" s="128"/>
      <c r="AL13" s="128"/>
      <c r="AM13" s="128"/>
      <c r="AN13" s="128"/>
      <c r="AO13" s="128"/>
      <c r="AP13" s="128"/>
      <c r="AQ13" s="128"/>
      <c r="AR13" s="128"/>
      <c r="AS13" s="128"/>
      <c r="AT13" s="128"/>
      <c r="AU13" s="128"/>
      <c r="AV13" s="128"/>
      <c r="AW13" s="128"/>
      <c r="AX13" s="128"/>
      <c r="AY13" s="128"/>
      <c r="AZ13" s="128"/>
      <c r="BA13" s="128"/>
      <c r="BB13" s="128"/>
      <c r="BC13" s="128"/>
      <c r="BD13" s="128"/>
      <c r="BE13" s="128"/>
      <c r="BF13" s="128"/>
      <c r="BG13" s="128"/>
      <c r="BH13" s="128"/>
      <c r="BI13" s="128"/>
      <c r="BJ13" s="128"/>
      <c r="BK13" s="128"/>
      <c r="BL13" s="128"/>
      <c r="BM13" s="128"/>
      <c r="BN13" s="128"/>
      <c r="BO13" s="128"/>
      <c r="BP13" s="128"/>
      <c r="BQ13" s="128"/>
      <c r="BR13" s="128"/>
      <c r="BS13" s="128"/>
      <c r="BT13" s="128"/>
      <c r="BU13" s="128"/>
      <c r="BV13" s="128"/>
      <c r="BW13" s="128"/>
      <c r="BX13" s="128"/>
      <c r="BY13" s="128"/>
      <c r="BZ13" s="128"/>
      <c r="CA13" s="128"/>
      <c r="CB13" s="128"/>
      <c r="CC13" s="128"/>
      <c r="CD13" s="128"/>
      <c r="CE13" s="128"/>
      <c r="CF13" s="128"/>
      <c r="CG13" s="128"/>
      <c r="CH13" s="128"/>
      <c r="CI13" s="128"/>
      <c r="CJ13" s="128"/>
      <c r="CK13" s="128"/>
      <c r="CL13" s="128"/>
      <c r="CM13" s="128"/>
      <c r="CN13" s="128"/>
      <c r="CO13" s="128"/>
      <c r="CP13" s="128"/>
      <c r="CQ13" s="128"/>
      <c r="CR13" s="128"/>
      <c r="CS13" s="128"/>
      <c r="CT13" s="128"/>
      <c r="CU13" s="128"/>
      <c r="CV13" s="128"/>
      <c r="CW13" s="128"/>
      <c r="CX13" s="128"/>
      <c r="CY13" s="128"/>
      <c r="CZ13" s="128"/>
      <c r="DA13" s="128"/>
      <c r="DB13" s="128"/>
      <c r="DC13" s="128"/>
      <c r="DD13" s="128"/>
      <c r="DE13" s="128"/>
      <c r="DF13" s="128"/>
      <c r="DG13" s="128"/>
      <c r="DH13" s="128"/>
      <c r="DI13" s="128"/>
      <c r="DJ13" s="128"/>
      <c r="DK13" s="128"/>
      <c r="DL13" s="128"/>
      <c r="DM13" s="128"/>
      <c r="DN13" s="128"/>
      <c r="DO13" s="128"/>
      <c r="DP13" s="128"/>
      <c r="DQ13" s="128"/>
      <c r="DR13" s="128"/>
      <c r="DS13" s="128"/>
      <c r="DT13" s="128"/>
      <c r="DU13" s="128"/>
      <c r="DV13" s="128"/>
      <c r="DW13" s="128"/>
      <c r="DX13" s="128"/>
      <c r="DY13" s="128"/>
      <c r="DZ13" s="128"/>
      <c r="EA13" s="128"/>
      <c r="EB13" s="128"/>
      <c r="EC13" s="128"/>
      <c r="ED13" s="128"/>
      <c r="EE13" s="128"/>
      <c r="EF13" s="128"/>
      <c r="EG13" s="128"/>
      <c r="EH13" s="128"/>
      <c r="EI13" s="128"/>
      <c r="EJ13" s="128"/>
      <c r="EK13" s="128"/>
      <c r="EL13" s="128"/>
      <c r="EM13" s="128"/>
      <c r="EN13" s="128"/>
      <c r="EO13" s="128"/>
      <c r="EP13" s="128"/>
      <c r="EQ13" s="128"/>
      <c r="ER13" s="128"/>
      <c r="ES13" s="128"/>
      <c r="ET13" s="128"/>
      <c r="EU13" s="128"/>
      <c r="EV13" s="128"/>
      <c r="EW13" s="128"/>
      <c r="EX13" s="128"/>
      <c r="EY13" s="128"/>
      <c r="EZ13" s="128"/>
      <c r="FA13" s="128"/>
      <c r="FB13" s="128"/>
      <c r="FC13" s="128"/>
      <c r="FD13" s="128"/>
      <c r="FE13" s="128"/>
      <c r="FF13" s="128"/>
      <c r="FG13" s="128"/>
      <c r="FH13" s="128"/>
      <c r="FI13" s="128"/>
      <c r="FJ13" s="128"/>
      <c r="FK13" s="128"/>
      <c r="FL13" s="128"/>
      <c r="FM13" s="128"/>
      <c r="FN13" s="128"/>
      <c r="FO13" s="128"/>
      <c r="FP13" s="128"/>
      <c r="FQ13" s="128"/>
      <c r="FR13" s="128"/>
      <c r="FS13" s="128"/>
      <c r="FT13" s="128"/>
      <c r="FU13" s="128"/>
      <c r="FV13" s="128"/>
      <c r="FW13" s="128"/>
      <c r="FX13" s="128"/>
      <c r="FY13" s="128"/>
      <c r="FZ13" s="128"/>
      <c r="GA13" s="128"/>
      <c r="GB13" s="128"/>
      <c r="GC13" s="128"/>
      <c r="GD13" s="128"/>
      <c r="GE13" s="128"/>
      <c r="GF13" s="128"/>
      <c r="GG13" s="128"/>
      <c r="GH13" s="128"/>
      <c r="GI13" s="128"/>
      <c r="GJ13" s="128"/>
      <c r="GK13" s="128"/>
      <c r="GL13" s="128"/>
      <c r="GM13" s="128"/>
      <c r="GN13" s="128"/>
      <c r="GO13" s="128"/>
      <c r="GP13" s="128"/>
      <c r="GQ13" s="128"/>
      <c r="GR13" s="128"/>
      <c r="GS13" s="128"/>
      <c r="GT13" s="128"/>
      <c r="GU13" s="128"/>
      <c r="GV13" s="128"/>
      <c r="GW13" s="128"/>
      <c r="GX13" s="128"/>
      <c r="GY13" s="128"/>
      <c r="GZ13" s="128"/>
      <c r="HA13" s="128"/>
      <c r="HB13" s="128"/>
      <c r="HC13" s="128"/>
      <c r="HD13" s="128"/>
      <c r="HE13" s="128"/>
      <c r="HF13" s="128"/>
      <c r="HG13" s="128"/>
      <c r="HH13" s="128"/>
      <c r="HI13" s="128"/>
      <c r="HJ13" s="128"/>
      <c r="HK13" s="128"/>
      <c r="HL13" s="128"/>
      <c r="HM13" s="128"/>
      <c r="HN13" s="128"/>
      <c r="HO13" s="128"/>
      <c r="HP13" s="128"/>
      <c r="HQ13" s="128"/>
      <c r="HR13" s="128"/>
      <c r="HS13" s="128"/>
      <c r="HT13" s="128"/>
      <c r="HU13" s="128"/>
      <c r="HV13" s="128"/>
      <c r="HW13" s="128"/>
      <c r="HX13" s="128"/>
      <c r="HY13" s="128"/>
      <c r="HZ13" s="128"/>
      <c r="IA13" s="128"/>
      <c r="IB13" s="128"/>
      <c r="IC13" s="128"/>
      <c r="ID13" s="128"/>
      <c r="IE13" s="128"/>
      <c r="IF13" s="128"/>
      <c r="IG13" s="128"/>
      <c r="IH13" s="128"/>
      <c r="II13" s="128"/>
      <c r="IJ13" s="128"/>
      <c r="IK13" s="128"/>
      <c r="IL13" s="128"/>
      <c r="IM13" s="128"/>
      <c r="IN13" s="128"/>
      <c r="IO13" s="128"/>
      <c r="IP13" s="128"/>
      <c r="IQ13" s="128"/>
      <c r="IR13" s="128"/>
      <c r="IS13" s="128"/>
      <c r="IT13" s="128"/>
      <c r="IU13" s="128"/>
      <c r="IV13" s="128"/>
      <c r="IW13" s="128"/>
    </row>
    <row r="14" customFormat="false" ht="22.5" hidden="false" customHeight="true" outlineLevel="0" collapsed="false">
      <c r="A14" s="130" t="s">
        <v>634</v>
      </c>
      <c r="B14" s="130" t="s">
        <v>635</v>
      </c>
      <c r="C14" s="130" t="n">
        <v>65</v>
      </c>
      <c r="D14" s="130" t="n">
        <v>40</v>
      </c>
      <c r="E14" s="130" t="s">
        <v>18</v>
      </c>
      <c r="F14" s="130" t="n">
        <v>120</v>
      </c>
      <c r="G14" s="130" t="n">
        <v>25</v>
      </c>
      <c r="H14" s="130" t="n">
        <v>250</v>
      </c>
      <c r="I14" s="130" t="n">
        <v>600</v>
      </c>
      <c r="J14" s="130" t="s">
        <v>636</v>
      </c>
      <c r="K14" s="130" t="s">
        <v>611</v>
      </c>
      <c r="L14" s="131" t="s">
        <v>637</v>
      </c>
      <c r="M14" s="130" t="n">
        <v>200</v>
      </c>
      <c r="N14" s="132" t="s">
        <v>638</v>
      </c>
      <c r="O14" s="132" t="n">
        <v>0.85</v>
      </c>
      <c r="P14" s="133" t="s">
        <v>630</v>
      </c>
      <c r="Q14" s="133" t="n">
        <v>2.3</v>
      </c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  <c r="AD14" s="128"/>
      <c r="AE14" s="128"/>
      <c r="AF14" s="128"/>
      <c r="AG14" s="128"/>
      <c r="AH14" s="128"/>
      <c r="AI14" s="128"/>
      <c r="AJ14" s="128"/>
      <c r="AK14" s="128"/>
      <c r="AL14" s="128"/>
      <c r="AM14" s="128"/>
      <c r="AN14" s="128"/>
      <c r="AO14" s="128"/>
      <c r="AP14" s="128"/>
      <c r="AQ14" s="128"/>
      <c r="AR14" s="128"/>
      <c r="AS14" s="128"/>
      <c r="AT14" s="128"/>
      <c r="AU14" s="128"/>
      <c r="AV14" s="128"/>
      <c r="AW14" s="128"/>
      <c r="AX14" s="128"/>
      <c r="AY14" s="128"/>
      <c r="AZ14" s="128"/>
      <c r="BA14" s="128"/>
      <c r="BB14" s="128"/>
      <c r="BC14" s="128"/>
      <c r="BD14" s="128"/>
      <c r="BE14" s="128"/>
      <c r="BF14" s="128"/>
      <c r="BG14" s="128"/>
      <c r="BH14" s="128"/>
      <c r="BI14" s="128"/>
      <c r="BJ14" s="128"/>
      <c r="BK14" s="128"/>
      <c r="BL14" s="128"/>
      <c r="BM14" s="128"/>
      <c r="BN14" s="128"/>
      <c r="BO14" s="128"/>
      <c r="BP14" s="128"/>
      <c r="BQ14" s="128"/>
      <c r="BR14" s="128"/>
      <c r="BS14" s="128"/>
      <c r="BT14" s="128"/>
      <c r="BU14" s="128"/>
      <c r="BV14" s="128"/>
      <c r="BW14" s="128"/>
      <c r="BX14" s="128"/>
      <c r="BY14" s="128"/>
      <c r="BZ14" s="128"/>
      <c r="CA14" s="128"/>
      <c r="CB14" s="128"/>
      <c r="CC14" s="128"/>
      <c r="CD14" s="128"/>
      <c r="CE14" s="128"/>
      <c r="CF14" s="128"/>
      <c r="CG14" s="128"/>
      <c r="CH14" s="128"/>
      <c r="CI14" s="128"/>
      <c r="CJ14" s="128"/>
      <c r="CK14" s="128"/>
      <c r="CL14" s="128"/>
      <c r="CM14" s="128"/>
      <c r="CN14" s="128"/>
      <c r="CO14" s="128"/>
      <c r="CP14" s="128"/>
      <c r="CQ14" s="128"/>
      <c r="CR14" s="128"/>
      <c r="CS14" s="128"/>
      <c r="CT14" s="128"/>
      <c r="CU14" s="128"/>
      <c r="CV14" s="128"/>
      <c r="CW14" s="128"/>
      <c r="CX14" s="128"/>
      <c r="CY14" s="128"/>
      <c r="CZ14" s="128"/>
      <c r="DA14" s="128"/>
      <c r="DB14" s="128"/>
      <c r="DC14" s="128"/>
      <c r="DD14" s="128"/>
      <c r="DE14" s="128"/>
      <c r="DF14" s="128"/>
      <c r="DG14" s="128"/>
      <c r="DH14" s="128"/>
      <c r="DI14" s="128"/>
      <c r="DJ14" s="128"/>
      <c r="DK14" s="128"/>
      <c r="DL14" s="128"/>
      <c r="DM14" s="128"/>
      <c r="DN14" s="128"/>
      <c r="DO14" s="128"/>
      <c r="DP14" s="128"/>
      <c r="DQ14" s="128"/>
      <c r="DR14" s="128"/>
      <c r="DS14" s="128"/>
      <c r="DT14" s="128"/>
      <c r="DU14" s="128"/>
      <c r="DV14" s="128"/>
      <c r="DW14" s="128"/>
      <c r="DX14" s="128"/>
      <c r="DY14" s="128"/>
      <c r="DZ14" s="128"/>
      <c r="EA14" s="128"/>
      <c r="EB14" s="128"/>
      <c r="EC14" s="128"/>
      <c r="ED14" s="128"/>
      <c r="EE14" s="128"/>
      <c r="EF14" s="128"/>
      <c r="EG14" s="128"/>
      <c r="EH14" s="128"/>
      <c r="EI14" s="128"/>
      <c r="EJ14" s="128"/>
      <c r="EK14" s="128"/>
      <c r="EL14" s="128"/>
      <c r="EM14" s="128"/>
      <c r="EN14" s="128"/>
      <c r="EO14" s="128"/>
      <c r="EP14" s="128"/>
      <c r="EQ14" s="128"/>
      <c r="ER14" s="128"/>
      <c r="ES14" s="128"/>
      <c r="ET14" s="128"/>
      <c r="EU14" s="128"/>
      <c r="EV14" s="128"/>
      <c r="EW14" s="128"/>
      <c r="EX14" s="128"/>
      <c r="EY14" s="128"/>
      <c r="EZ14" s="128"/>
      <c r="FA14" s="128"/>
      <c r="FB14" s="128"/>
      <c r="FC14" s="128"/>
      <c r="FD14" s="128"/>
      <c r="FE14" s="128"/>
      <c r="FF14" s="128"/>
      <c r="FG14" s="128"/>
      <c r="FH14" s="128"/>
      <c r="FI14" s="128"/>
      <c r="FJ14" s="128"/>
      <c r="FK14" s="128"/>
      <c r="FL14" s="128"/>
      <c r="FM14" s="128"/>
      <c r="FN14" s="128"/>
      <c r="FO14" s="128"/>
      <c r="FP14" s="128"/>
      <c r="FQ14" s="128"/>
      <c r="FR14" s="128"/>
      <c r="FS14" s="128"/>
      <c r="FT14" s="128"/>
      <c r="FU14" s="128"/>
      <c r="FV14" s="128"/>
      <c r="FW14" s="128"/>
      <c r="FX14" s="128"/>
      <c r="FY14" s="128"/>
      <c r="FZ14" s="128"/>
      <c r="GA14" s="128"/>
      <c r="GB14" s="128"/>
      <c r="GC14" s="128"/>
      <c r="GD14" s="128"/>
      <c r="GE14" s="128"/>
      <c r="GF14" s="128"/>
      <c r="GG14" s="128"/>
      <c r="GH14" s="128"/>
      <c r="GI14" s="128"/>
      <c r="GJ14" s="128"/>
      <c r="GK14" s="128"/>
      <c r="GL14" s="128"/>
      <c r="GM14" s="128"/>
      <c r="GN14" s="128"/>
      <c r="GO14" s="128"/>
      <c r="GP14" s="128"/>
      <c r="GQ14" s="128"/>
      <c r="GR14" s="128"/>
      <c r="GS14" s="128"/>
      <c r="GT14" s="128"/>
      <c r="GU14" s="128"/>
      <c r="GV14" s="128"/>
      <c r="GW14" s="128"/>
      <c r="GX14" s="128"/>
      <c r="GY14" s="128"/>
      <c r="GZ14" s="128"/>
      <c r="HA14" s="128"/>
      <c r="HB14" s="128"/>
      <c r="HC14" s="128"/>
      <c r="HD14" s="128"/>
      <c r="HE14" s="128"/>
      <c r="HF14" s="128"/>
      <c r="HG14" s="128"/>
      <c r="HH14" s="128"/>
      <c r="HI14" s="128"/>
      <c r="HJ14" s="128"/>
      <c r="HK14" s="128"/>
      <c r="HL14" s="128"/>
      <c r="HM14" s="128"/>
      <c r="HN14" s="128"/>
      <c r="HO14" s="128"/>
      <c r="HP14" s="128"/>
      <c r="HQ14" s="128"/>
      <c r="HR14" s="128"/>
      <c r="HS14" s="128"/>
      <c r="HT14" s="128"/>
      <c r="HU14" s="128"/>
      <c r="HV14" s="128"/>
      <c r="HW14" s="128"/>
      <c r="HX14" s="128"/>
      <c r="HY14" s="128"/>
      <c r="HZ14" s="128"/>
      <c r="IA14" s="128"/>
      <c r="IB14" s="128"/>
      <c r="IC14" s="128"/>
      <c r="ID14" s="128"/>
      <c r="IE14" s="128"/>
      <c r="IF14" s="128"/>
      <c r="IG14" s="128"/>
      <c r="IH14" s="128"/>
      <c r="II14" s="128"/>
      <c r="IJ14" s="128"/>
      <c r="IK14" s="128"/>
      <c r="IL14" s="128"/>
      <c r="IM14" s="128"/>
      <c r="IN14" s="128"/>
      <c r="IO14" s="128"/>
      <c r="IP14" s="128"/>
      <c r="IQ14" s="128"/>
      <c r="IR14" s="128"/>
      <c r="IS14" s="128"/>
      <c r="IT14" s="128"/>
      <c r="IU14" s="128"/>
      <c r="IV14" s="128"/>
      <c r="IW14" s="128"/>
    </row>
    <row r="15" customFormat="false" ht="44.25" hidden="false" customHeight="true" outlineLevel="0" collapsed="false">
      <c r="A15" s="130" t="s">
        <v>639</v>
      </c>
      <c r="B15" s="130" t="s">
        <v>640</v>
      </c>
      <c r="C15" s="130" t="n">
        <v>500</v>
      </c>
      <c r="D15" s="130" t="n">
        <v>55</v>
      </c>
      <c r="E15" s="130" t="n">
        <v>0.065</v>
      </c>
      <c r="F15" s="130" t="n">
        <v>4900</v>
      </c>
      <c r="G15" s="130" t="n">
        <v>1200</v>
      </c>
      <c r="H15" s="130" t="n">
        <v>500</v>
      </c>
      <c r="I15" s="130" t="n">
        <v>0</v>
      </c>
      <c r="J15" s="130" t="s">
        <v>641</v>
      </c>
      <c r="K15" s="130" t="s">
        <v>642</v>
      </c>
      <c r="L15" s="131" t="s">
        <v>643</v>
      </c>
      <c r="M15" s="130" t="n">
        <v>150</v>
      </c>
      <c r="N15" s="132" t="s">
        <v>604</v>
      </c>
      <c r="O15" s="132" t="n">
        <v>0.35</v>
      </c>
      <c r="P15" s="133" t="s">
        <v>605</v>
      </c>
      <c r="Q15" s="133" t="n">
        <v>2.3</v>
      </c>
      <c r="R15" s="128"/>
      <c r="S15" s="128"/>
      <c r="T15" s="128"/>
      <c r="U15" s="128"/>
      <c r="V15" s="128"/>
      <c r="W15" s="128"/>
      <c r="X15" s="128"/>
      <c r="Y15" s="128"/>
      <c r="Z15" s="128"/>
      <c r="AA15" s="128"/>
      <c r="AB15" s="128"/>
      <c r="AC15" s="128"/>
      <c r="AD15" s="128"/>
      <c r="AE15" s="128"/>
      <c r="AF15" s="128"/>
      <c r="AG15" s="128"/>
      <c r="AH15" s="128"/>
      <c r="AI15" s="128"/>
      <c r="AJ15" s="128"/>
      <c r="AK15" s="128"/>
      <c r="AL15" s="128"/>
      <c r="AM15" s="128"/>
      <c r="AN15" s="128"/>
      <c r="AO15" s="128"/>
      <c r="AP15" s="128"/>
      <c r="AQ15" s="128"/>
      <c r="AR15" s="128"/>
      <c r="AS15" s="128"/>
      <c r="AT15" s="128"/>
      <c r="AU15" s="128"/>
      <c r="AV15" s="128"/>
      <c r="AW15" s="128"/>
      <c r="AX15" s="128"/>
      <c r="AY15" s="128"/>
      <c r="AZ15" s="128"/>
      <c r="BA15" s="128"/>
      <c r="BB15" s="128"/>
      <c r="BC15" s="128"/>
      <c r="BD15" s="128"/>
      <c r="BE15" s="128"/>
      <c r="BF15" s="128"/>
      <c r="BG15" s="128"/>
      <c r="BH15" s="128"/>
      <c r="BI15" s="128"/>
      <c r="BJ15" s="128"/>
      <c r="BK15" s="128"/>
      <c r="BL15" s="128"/>
      <c r="BM15" s="128"/>
      <c r="BN15" s="128"/>
      <c r="BO15" s="128"/>
      <c r="BP15" s="128"/>
      <c r="BQ15" s="128"/>
      <c r="BR15" s="128"/>
      <c r="BS15" s="128"/>
      <c r="BT15" s="128"/>
      <c r="BU15" s="128"/>
      <c r="BV15" s="128"/>
      <c r="BW15" s="128"/>
      <c r="BX15" s="128"/>
      <c r="BY15" s="128"/>
      <c r="BZ15" s="128"/>
      <c r="CA15" s="128"/>
      <c r="CB15" s="128"/>
      <c r="CC15" s="128"/>
      <c r="CD15" s="128"/>
      <c r="CE15" s="128"/>
      <c r="CF15" s="128"/>
      <c r="CG15" s="128"/>
      <c r="CH15" s="128"/>
      <c r="CI15" s="128"/>
      <c r="CJ15" s="128"/>
      <c r="CK15" s="128"/>
      <c r="CL15" s="128"/>
      <c r="CM15" s="128"/>
      <c r="CN15" s="128"/>
      <c r="CO15" s="128"/>
      <c r="CP15" s="128"/>
      <c r="CQ15" s="128"/>
      <c r="CR15" s="128"/>
      <c r="CS15" s="128"/>
      <c r="CT15" s="128"/>
      <c r="CU15" s="128"/>
      <c r="CV15" s="128"/>
      <c r="CW15" s="128"/>
      <c r="CX15" s="128"/>
      <c r="CY15" s="128"/>
      <c r="CZ15" s="128"/>
      <c r="DA15" s="128"/>
      <c r="DB15" s="128"/>
      <c r="DC15" s="128"/>
      <c r="DD15" s="128"/>
      <c r="DE15" s="128"/>
      <c r="DF15" s="128"/>
      <c r="DG15" s="128"/>
      <c r="DH15" s="128"/>
      <c r="DI15" s="128"/>
      <c r="DJ15" s="128"/>
      <c r="DK15" s="128"/>
      <c r="DL15" s="128"/>
      <c r="DM15" s="128"/>
      <c r="DN15" s="128"/>
      <c r="DO15" s="128"/>
      <c r="DP15" s="128"/>
      <c r="DQ15" s="128"/>
      <c r="DR15" s="128"/>
      <c r="DS15" s="128"/>
      <c r="DT15" s="128"/>
      <c r="DU15" s="128"/>
      <c r="DV15" s="128"/>
      <c r="DW15" s="128"/>
      <c r="DX15" s="128"/>
      <c r="DY15" s="128"/>
      <c r="DZ15" s="128"/>
      <c r="EA15" s="128"/>
      <c r="EB15" s="128"/>
      <c r="EC15" s="128"/>
      <c r="ED15" s="128"/>
      <c r="EE15" s="128"/>
      <c r="EF15" s="128"/>
      <c r="EG15" s="128"/>
      <c r="EH15" s="128"/>
      <c r="EI15" s="128"/>
      <c r="EJ15" s="128"/>
      <c r="EK15" s="128"/>
      <c r="EL15" s="128"/>
      <c r="EM15" s="128"/>
      <c r="EN15" s="128"/>
      <c r="EO15" s="128"/>
      <c r="EP15" s="128"/>
      <c r="EQ15" s="128"/>
      <c r="ER15" s="128"/>
      <c r="ES15" s="128"/>
      <c r="ET15" s="128"/>
      <c r="EU15" s="128"/>
      <c r="EV15" s="128"/>
      <c r="EW15" s="128"/>
      <c r="EX15" s="128"/>
      <c r="EY15" s="128"/>
      <c r="EZ15" s="128"/>
      <c r="FA15" s="128"/>
      <c r="FB15" s="128"/>
      <c r="FC15" s="128"/>
      <c r="FD15" s="128"/>
      <c r="FE15" s="128"/>
      <c r="FF15" s="128"/>
      <c r="FG15" s="128"/>
      <c r="FH15" s="128"/>
      <c r="FI15" s="128"/>
      <c r="FJ15" s="128"/>
      <c r="FK15" s="128"/>
      <c r="FL15" s="128"/>
      <c r="FM15" s="128"/>
      <c r="FN15" s="128"/>
      <c r="FO15" s="128"/>
      <c r="FP15" s="128"/>
      <c r="FQ15" s="128"/>
      <c r="FR15" s="128"/>
      <c r="FS15" s="128"/>
      <c r="FT15" s="128"/>
      <c r="FU15" s="128"/>
      <c r="FV15" s="128"/>
      <c r="FW15" s="128"/>
      <c r="FX15" s="128"/>
      <c r="FY15" s="128"/>
      <c r="FZ15" s="128"/>
      <c r="GA15" s="128"/>
      <c r="GB15" s="128"/>
      <c r="GC15" s="128"/>
      <c r="GD15" s="128"/>
      <c r="GE15" s="128"/>
      <c r="GF15" s="128"/>
      <c r="GG15" s="128"/>
      <c r="GH15" s="128"/>
      <c r="GI15" s="128"/>
      <c r="GJ15" s="128"/>
      <c r="GK15" s="128"/>
      <c r="GL15" s="128"/>
      <c r="GM15" s="128"/>
      <c r="GN15" s="128"/>
      <c r="GO15" s="128"/>
      <c r="GP15" s="128"/>
      <c r="GQ15" s="128"/>
      <c r="GR15" s="128"/>
      <c r="GS15" s="128"/>
      <c r="GT15" s="128"/>
      <c r="GU15" s="128"/>
      <c r="GV15" s="128"/>
      <c r="GW15" s="128"/>
      <c r="GX15" s="128"/>
      <c r="GY15" s="128"/>
      <c r="GZ15" s="128"/>
      <c r="HA15" s="128"/>
      <c r="HB15" s="128"/>
      <c r="HC15" s="128"/>
      <c r="HD15" s="128"/>
      <c r="HE15" s="128"/>
      <c r="HF15" s="128"/>
      <c r="HG15" s="128"/>
      <c r="HH15" s="128"/>
      <c r="HI15" s="128"/>
      <c r="HJ15" s="128"/>
      <c r="HK15" s="128"/>
      <c r="HL15" s="128"/>
      <c r="HM15" s="128"/>
      <c r="HN15" s="128"/>
      <c r="HO15" s="128"/>
      <c r="HP15" s="128"/>
      <c r="HQ15" s="128"/>
      <c r="HR15" s="128"/>
      <c r="HS15" s="128"/>
      <c r="HT15" s="128"/>
      <c r="HU15" s="128"/>
      <c r="HV15" s="128"/>
      <c r="HW15" s="128"/>
      <c r="HX15" s="128"/>
      <c r="HY15" s="128"/>
      <c r="HZ15" s="128"/>
      <c r="IA15" s="128"/>
      <c r="IB15" s="128"/>
      <c r="IC15" s="128"/>
      <c r="ID15" s="128"/>
      <c r="IE15" s="128"/>
      <c r="IF15" s="128"/>
      <c r="IG15" s="128"/>
      <c r="IH15" s="128"/>
      <c r="II15" s="128"/>
      <c r="IJ15" s="128"/>
      <c r="IK15" s="128"/>
      <c r="IL15" s="128"/>
      <c r="IM15" s="128"/>
      <c r="IN15" s="128"/>
      <c r="IO15" s="128"/>
      <c r="IP15" s="128"/>
      <c r="IQ15" s="128"/>
      <c r="IR15" s="128"/>
      <c r="IS15" s="128"/>
      <c r="IT15" s="128"/>
      <c r="IU15" s="128"/>
      <c r="IV15" s="128"/>
      <c r="IW15" s="128"/>
    </row>
    <row r="16" customFormat="false" ht="22.5" hidden="false" customHeight="true" outlineLevel="0" collapsed="false">
      <c r="A16" s="130" t="s">
        <v>644</v>
      </c>
      <c r="B16" s="130" t="s">
        <v>600</v>
      </c>
      <c r="C16" s="130" t="n">
        <v>200</v>
      </c>
      <c r="D16" s="130" t="n">
        <v>7</v>
      </c>
      <c r="E16" s="130" t="n">
        <v>0.5</v>
      </c>
      <c r="F16" s="130" t="n">
        <v>450</v>
      </c>
      <c r="G16" s="130" t="n">
        <v>200</v>
      </c>
      <c r="H16" s="130" t="n">
        <v>40</v>
      </c>
      <c r="I16" s="130" t="n">
        <v>70</v>
      </c>
      <c r="J16" s="130" t="s">
        <v>645</v>
      </c>
      <c r="K16" s="130" t="s">
        <v>615</v>
      </c>
      <c r="L16" s="131" t="s">
        <v>646</v>
      </c>
      <c r="M16" s="130" t="n">
        <v>150</v>
      </c>
      <c r="N16" s="132" t="s">
        <v>647</v>
      </c>
      <c r="O16" s="132" t="n">
        <v>0.35</v>
      </c>
      <c r="P16" s="133" t="s">
        <v>605</v>
      </c>
      <c r="Q16" s="133" t="n">
        <v>2.3</v>
      </c>
      <c r="R16" s="128"/>
      <c r="S16" s="128"/>
      <c r="T16" s="128"/>
      <c r="U16" s="128"/>
      <c r="V16" s="128"/>
      <c r="W16" s="128"/>
      <c r="X16" s="128"/>
      <c r="Y16" s="128"/>
      <c r="Z16" s="128"/>
      <c r="AA16" s="128"/>
      <c r="AB16" s="128"/>
      <c r="AC16" s="128"/>
      <c r="AD16" s="128"/>
      <c r="AE16" s="128"/>
      <c r="AF16" s="128"/>
      <c r="AG16" s="128"/>
      <c r="AH16" s="128"/>
      <c r="AI16" s="128"/>
      <c r="AJ16" s="128"/>
      <c r="AK16" s="128"/>
      <c r="AL16" s="128"/>
      <c r="AM16" s="128"/>
      <c r="AN16" s="128"/>
      <c r="AO16" s="128"/>
      <c r="AP16" s="128"/>
      <c r="AQ16" s="128"/>
      <c r="AR16" s="128"/>
      <c r="AS16" s="128"/>
      <c r="AT16" s="128"/>
      <c r="AU16" s="128"/>
      <c r="AV16" s="128"/>
      <c r="AW16" s="128"/>
      <c r="AX16" s="128"/>
      <c r="AY16" s="128"/>
      <c r="AZ16" s="128"/>
      <c r="BA16" s="128"/>
      <c r="BB16" s="128"/>
      <c r="BC16" s="128"/>
      <c r="BD16" s="128"/>
      <c r="BE16" s="128"/>
      <c r="BF16" s="128"/>
      <c r="BG16" s="128"/>
      <c r="BH16" s="128"/>
      <c r="BI16" s="128"/>
      <c r="BJ16" s="128"/>
      <c r="BK16" s="128"/>
      <c r="BL16" s="128"/>
      <c r="BM16" s="128"/>
      <c r="BN16" s="128"/>
      <c r="BO16" s="128"/>
      <c r="BP16" s="128"/>
      <c r="BQ16" s="128"/>
      <c r="BR16" s="128"/>
      <c r="BS16" s="128"/>
      <c r="BT16" s="128"/>
      <c r="BU16" s="128"/>
      <c r="BV16" s="128"/>
      <c r="BW16" s="128"/>
      <c r="BX16" s="128"/>
      <c r="BY16" s="128"/>
      <c r="BZ16" s="128"/>
      <c r="CA16" s="128"/>
      <c r="CB16" s="128"/>
      <c r="CC16" s="128"/>
      <c r="CD16" s="128"/>
      <c r="CE16" s="128"/>
      <c r="CF16" s="128"/>
      <c r="CG16" s="128"/>
      <c r="CH16" s="128"/>
      <c r="CI16" s="128"/>
      <c r="CJ16" s="128"/>
      <c r="CK16" s="128"/>
      <c r="CL16" s="128"/>
      <c r="CM16" s="128"/>
      <c r="CN16" s="128"/>
      <c r="CO16" s="128"/>
      <c r="CP16" s="128"/>
      <c r="CQ16" s="128"/>
      <c r="CR16" s="128"/>
      <c r="CS16" s="128"/>
      <c r="CT16" s="128"/>
      <c r="CU16" s="128"/>
      <c r="CV16" s="128"/>
      <c r="CW16" s="128"/>
      <c r="CX16" s="128"/>
      <c r="CY16" s="128"/>
      <c r="CZ16" s="128"/>
      <c r="DA16" s="128"/>
      <c r="DB16" s="128"/>
      <c r="DC16" s="128"/>
      <c r="DD16" s="128"/>
      <c r="DE16" s="128"/>
      <c r="DF16" s="128"/>
      <c r="DG16" s="128"/>
      <c r="DH16" s="128"/>
      <c r="DI16" s="128"/>
      <c r="DJ16" s="128"/>
      <c r="DK16" s="128"/>
      <c r="DL16" s="128"/>
      <c r="DM16" s="128"/>
      <c r="DN16" s="128"/>
      <c r="DO16" s="128"/>
      <c r="DP16" s="128"/>
      <c r="DQ16" s="128"/>
      <c r="DR16" s="128"/>
      <c r="DS16" s="128"/>
      <c r="DT16" s="128"/>
      <c r="DU16" s="128"/>
      <c r="DV16" s="128"/>
      <c r="DW16" s="128"/>
      <c r="DX16" s="128"/>
      <c r="DY16" s="128"/>
      <c r="DZ16" s="128"/>
      <c r="EA16" s="128"/>
      <c r="EB16" s="128"/>
      <c r="EC16" s="128"/>
      <c r="ED16" s="128"/>
      <c r="EE16" s="128"/>
      <c r="EF16" s="128"/>
      <c r="EG16" s="128"/>
      <c r="EH16" s="128"/>
      <c r="EI16" s="128"/>
      <c r="EJ16" s="128"/>
      <c r="EK16" s="128"/>
      <c r="EL16" s="128"/>
      <c r="EM16" s="128"/>
      <c r="EN16" s="128"/>
      <c r="EO16" s="128"/>
      <c r="EP16" s="128"/>
      <c r="EQ16" s="128"/>
      <c r="ER16" s="128"/>
      <c r="ES16" s="128"/>
      <c r="ET16" s="128"/>
      <c r="EU16" s="128"/>
      <c r="EV16" s="128"/>
      <c r="EW16" s="128"/>
      <c r="EX16" s="128"/>
      <c r="EY16" s="128"/>
      <c r="EZ16" s="128"/>
      <c r="FA16" s="128"/>
      <c r="FB16" s="128"/>
      <c r="FC16" s="128"/>
      <c r="FD16" s="128"/>
      <c r="FE16" s="128"/>
      <c r="FF16" s="128"/>
      <c r="FG16" s="128"/>
      <c r="FH16" s="128"/>
      <c r="FI16" s="128"/>
      <c r="FJ16" s="128"/>
      <c r="FK16" s="128"/>
      <c r="FL16" s="128"/>
      <c r="FM16" s="128"/>
      <c r="FN16" s="128"/>
      <c r="FO16" s="128"/>
      <c r="FP16" s="128"/>
      <c r="FQ16" s="128"/>
      <c r="FR16" s="128"/>
      <c r="FS16" s="128"/>
      <c r="FT16" s="128"/>
      <c r="FU16" s="128"/>
      <c r="FV16" s="128"/>
      <c r="FW16" s="128"/>
      <c r="FX16" s="128"/>
      <c r="FY16" s="128"/>
      <c r="FZ16" s="128"/>
      <c r="GA16" s="128"/>
      <c r="GB16" s="128"/>
      <c r="GC16" s="128"/>
      <c r="GD16" s="128"/>
      <c r="GE16" s="128"/>
      <c r="GF16" s="128"/>
      <c r="GG16" s="128"/>
      <c r="GH16" s="128"/>
      <c r="GI16" s="128"/>
      <c r="GJ16" s="128"/>
      <c r="GK16" s="128"/>
      <c r="GL16" s="128"/>
      <c r="GM16" s="128"/>
      <c r="GN16" s="128"/>
      <c r="GO16" s="128"/>
      <c r="GP16" s="128"/>
      <c r="GQ16" s="128"/>
      <c r="GR16" s="128"/>
      <c r="GS16" s="128"/>
      <c r="GT16" s="128"/>
      <c r="GU16" s="128"/>
      <c r="GV16" s="128"/>
      <c r="GW16" s="128"/>
      <c r="GX16" s="128"/>
      <c r="GY16" s="128"/>
      <c r="GZ16" s="128"/>
      <c r="HA16" s="128"/>
      <c r="HB16" s="128"/>
      <c r="HC16" s="128"/>
      <c r="HD16" s="128"/>
      <c r="HE16" s="128"/>
      <c r="HF16" s="128"/>
      <c r="HG16" s="128"/>
      <c r="HH16" s="128"/>
      <c r="HI16" s="128"/>
      <c r="HJ16" s="128"/>
      <c r="HK16" s="128"/>
      <c r="HL16" s="128"/>
      <c r="HM16" s="128"/>
      <c r="HN16" s="128"/>
      <c r="HO16" s="128"/>
      <c r="HP16" s="128"/>
      <c r="HQ16" s="128"/>
      <c r="HR16" s="128"/>
      <c r="HS16" s="128"/>
      <c r="HT16" s="128"/>
      <c r="HU16" s="128"/>
      <c r="HV16" s="128"/>
      <c r="HW16" s="128"/>
      <c r="HX16" s="128"/>
      <c r="HY16" s="128"/>
      <c r="HZ16" s="128"/>
      <c r="IA16" s="128"/>
      <c r="IB16" s="128"/>
      <c r="IC16" s="128"/>
      <c r="ID16" s="128"/>
      <c r="IE16" s="128"/>
      <c r="IF16" s="128"/>
      <c r="IG16" s="128"/>
      <c r="IH16" s="128"/>
      <c r="II16" s="128"/>
      <c r="IJ16" s="128"/>
      <c r="IK16" s="128"/>
      <c r="IL16" s="128"/>
      <c r="IM16" s="128"/>
      <c r="IN16" s="128"/>
      <c r="IO16" s="128"/>
      <c r="IP16" s="128"/>
      <c r="IQ16" s="128"/>
      <c r="IR16" s="128"/>
      <c r="IS16" s="128"/>
      <c r="IT16" s="128"/>
      <c r="IU16" s="128"/>
      <c r="IV16" s="128"/>
      <c r="IW16" s="128"/>
    </row>
    <row r="17" customFormat="false" ht="55.5" hidden="false" customHeight="true" outlineLevel="0" collapsed="false">
      <c r="A17" s="130" t="s">
        <v>648</v>
      </c>
      <c r="B17" s="130" t="s">
        <v>649</v>
      </c>
      <c r="C17" s="130" t="n">
        <v>65</v>
      </c>
      <c r="D17" s="130" t="n">
        <v>10</v>
      </c>
      <c r="E17" s="130" t="s">
        <v>18</v>
      </c>
      <c r="F17" s="130" t="n">
        <v>200</v>
      </c>
      <c r="G17" s="130" t="n">
        <v>18</v>
      </c>
      <c r="H17" s="130" t="n">
        <v>300</v>
      </c>
      <c r="I17" s="130" t="n">
        <v>1000</v>
      </c>
      <c r="J17" s="130" t="s">
        <v>650</v>
      </c>
      <c r="K17" s="130" t="s">
        <v>611</v>
      </c>
      <c r="L17" s="131" t="s">
        <v>651</v>
      </c>
      <c r="M17" s="130" t="n">
        <v>200</v>
      </c>
      <c r="N17" s="132" t="s">
        <v>638</v>
      </c>
      <c r="O17" s="132" t="n">
        <v>0.85</v>
      </c>
      <c r="P17" s="133" t="s">
        <v>630</v>
      </c>
      <c r="Q17" s="133" t="n">
        <v>2.3</v>
      </c>
      <c r="R17" s="128"/>
      <c r="S17" s="128"/>
      <c r="T17" s="128"/>
      <c r="U17" s="128"/>
      <c r="V17" s="128"/>
      <c r="W17" s="128"/>
      <c r="X17" s="128"/>
      <c r="Y17" s="128"/>
      <c r="Z17" s="128"/>
      <c r="AA17" s="128"/>
      <c r="AB17" s="128"/>
      <c r="AC17" s="128"/>
      <c r="AD17" s="128"/>
      <c r="AE17" s="128"/>
      <c r="AF17" s="128"/>
      <c r="AG17" s="128"/>
      <c r="AH17" s="128"/>
      <c r="AI17" s="128"/>
      <c r="AJ17" s="128"/>
      <c r="AK17" s="128"/>
      <c r="AL17" s="128"/>
      <c r="AM17" s="128"/>
      <c r="AN17" s="128"/>
      <c r="AO17" s="128"/>
      <c r="AP17" s="128"/>
      <c r="AQ17" s="128"/>
      <c r="AR17" s="128"/>
      <c r="AS17" s="128"/>
      <c r="AT17" s="128"/>
      <c r="AU17" s="128"/>
      <c r="AV17" s="128"/>
      <c r="AW17" s="128"/>
      <c r="AX17" s="128"/>
      <c r="AY17" s="128"/>
      <c r="AZ17" s="128"/>
      <c r="BA17" s="128"/>
      <c r="BB17" s="128"/>
      <c r="BC17" s="128"/>
      <c r="BD17" s="128"/>
      <c r="BE17" s="128"/>
      <c r="BF17" s="128"/>
      <c r="BG17" s="128"/>
      <c r="BH17" s="128"/>
      <c r="BI17" s="128"/>
      <c r="BJ17" s="128"/>
      <c r="BK17" s="128"/>
      <c r="BL17" s="128"/>
      <c r="BM17" s="128"/>
      <c r="BN17" s="128"/>
      <c r="BO17" s="128"/>
      <c r="BP17" s="128"/>
      <c r="BQ17" s="128"/>
      <c r="BR17" s="128"/>
      <c r="BS17" s="128"/>
      <c r="BT17" s="128"/>
      <c r="BU17" s="128"/>
      <c r="BV17" s="128"/>
      <c r="BW17" s="128"/>
      <c r="BX17" s="128"/>
      <c r="BY17" s="128"/>
      <c r="BZ17" s="128"/>
      <c r="CA17" s="128"/>
      <c r="CB17" s="128"/>
      <c r="CC17" s="128"/>
      <c r="CD17" s="128"/>
      <c r="CE17" s="128"/>
      <c r="CF17" s="128"/>
      <c r="CG17" s="128"/>
      <c r="CH17" s="128"/>
      <c r="CI17" s="128"/>
      <c r="CJ17" s="128"/>
      <c r="CK17" s="128"/>
      <c r="CL17" s="128"/>
      <c r="CM17" s="128"/>
      <c r="CN17" s="128"/>
      <c r="CO17" s="128"/>
      <c r="CP17" s="128"/>
      <c r="CQ17" s="128"/>
      <c r="CR17" s="128"/>
      <c r="CS17" s="128"/>
      <c r="CT17" s="128"/>
      <c r="CU17" s="128"/>
      <c r="CV17" s="128"/>
      <c r="CW17" s="128"/>
      <c r="CX17" s="128"/>
      <c r="CY17" s="128"/>
      <c r="CZ17" s="128"/>
      <c r="DA17" s="128"/>
      <c r="DB17" s="128"/>
      <c r="DC17" s="128"/>
      <c r="DD17" s="128"/>
      <c r="DE17" s="128"/>
      <c r="DF17" s="128"/>
      <c r="DG17" s="128"/>
      <c r="DH17" s="128"/>
      <c r="DI17" s="128"/>
      <c r="DJ17" s="128"/>
      <c r="DK17" s="128"/>
      <c r="DL17" s="128"/>
      <c r="DM17" s="128"/>
      <c r="DN17" s="128"/>
      <c r="DO17" s="128"/>
      <c r="DP17" s="128"/>
      <c r="DQ17" s="128"/>
      <c r="DR17" s="128"/>
      <c r="DS17" s="128"/>
      <c r="DT17" s="128"/>
      <c r="DU17" s="128"/>
      <c r="DV17" s="128"/>
      <c r="DW17" s="128"/>
      <c r="DX17" s="128"/>
      <c r="DY17" s="128"/>
      <c r="DZ17" s="128"/>
      <c r="EA17" s="128"/>
      <c r="EB17" s="128"/>
      <c r="EC17" s="128"/>
      <c r="ED17" s="128"/>
      <c r="EE17" s="128"/>
      <c r="EF17" s="128"/>
      <c r="EG17" s="128"/>
      <c r="EH17" s="128"/>
      <c r="EI17" s="128"/>
      <c r="EJ17" s="128"/>
      <c r="EK17" s="128"/>
      <c r="EL17" s="128"/>
      <c r="EM17" s="128"/>
      <c r="EN17" s="128"/>
      <c r="EO17" s="128"/>
      <c r="EP17" s="128"/>
      <c r="EQ17" s="128"/>
      <c r="ER17" s="128"/>
      <c r="ES17" s="128"/>
      <c r="ET17" s="128"/>
      <c r="EU17" s="128"/>
      <c r="EV17" s="128"/>
      <c r="EW17" s="128"/>
      <c r="EX17" s="128"/>
      <c r="EY17" s="128"/>
      <c r="EZ17" s="128"/>
      <c r="FA17" s="128"/>
      <c r="FB17" s="128"/>
      <c r="FC17" s="128"/>
      <c r="FD17" s="128"/>
      <c r="FE17" s="128"/>
      <c r="FF17" s="128"/>
      <c r="FG17" s="128"/>
      <c r="FH17" s="128"/>
      <c r="FI17" s="128"/>
      <c r="FJ17" s="128"/>
      <c r="FK17" s="128"/>
      <c r="FL17" s="128"/>
      <c r="FM17" s="128"/>
      <c r="FN17" s="128"/>
      <c r="FO17" s="128"/>
      <c r="FP17" s="128"/>
      <c r="FQ17" s="128"/>
      <c r="FR17" s="128"/>
      <c r="FS17" s="128"/>
      <c r="FT17" s="128"/>
      <c r="FU17" s="128"/>
      <c r="FV17" s="128"/>
      <c r="FW17" s="128"/>
      <c r="FX17" s="128"/>
      <c r="FY17" s="128"/>
      <c r="FZ17" s="128"/>
      <c r="GA17" s="128"/>
      <c r="GB17" s="128"/>
      <c r="GC17" s="128"/>
      <c r="GD17" s="128"/>
      <c r="GE17" s="128"/>
      <c r="GF17" s="128"/>
      <c r="GG17" s="128"/>
      <c r="GH17" s="128"/>
      <c r="GI17" s="128"/>
      <c r="GJ17" s="128"/>
      <c r="GK17" s="128"/>
      <c r="GL17" s="128"/>
      <c r="GM17" s="128"/>
      <c r="GN17" s="128"/>
      <c r="GO17" s="128"/>
      <c r="GP17" s="128"/>
      <c r="GQ17" s="128"/>
      <c r="GR17" s="128"/>
      <c r="GS17" s="128"/>
      <c r="GT17" s="128"/>
      <c r="GU17" s="128"/>
      <c r="GV17" s="128"/>
      <c r="GW17" s="128"/>
      <c r="GX17" s="128"/>
      <c r="GY17" s="128"/>
      <c r="GZ17" s="128"/>
      <c r="HA17" s="128"/>
      <c r="HB17" s="128"/>
      <c r="HC17" s="128"/>
      <c r="HD17" s="128"/>
      <c r="HE17" s="128"/>
      <c r="HF17" s="128"/>
      <c r="HG17" s="128"/>
      <c r="HH17" s="128"/>
      <c r="HI17" s="128"/>
      <c r="HJ17" s="128"/>
      <c r="HK17" s="128"/>
      <c r="HL17" s="128"/>
      <c r="HM17" s="128"/>
      <c r="HN17" s="128"/>
      <c r="HO17" s="128"/>
      <c r="HP17" s="128"/>
      <c r="HQ17" s="128"/>
      <c r="HR17" s="128"/>
      <c r="HS17" s="128"/>
      <c r="HT17" s="128"/>
      <c r="HU17" s="128"/>
      <c r="HV17" s="128"/>
      <c r="HW17" s="128"/>
      <c r="HX17" s="128"/>
      <c r="HY17" s="128"/>
      <c r="HZ17" s="128"/>
      <c r="IA17" s="128"/>
      <c r="IB17" s="128"/>
      <c r="IC17" s="128"/>
      <c r="ID17" s="128"/>
      <c r="IE17" s="128"/>
      <c r="IF17" s="128"/>
      <c r="IG17" s="128"/>
      <c r="IH17" s="128"/>
      <c r="II17" s="128"/>
      <c r="IJ17" s="128"/>
      <c r="IK17" s="128"/>
      <c r="IL17" s="128"/>
      <c r="IM17" s="128"/>
      <c r="IN17" s="128"/>
      <c r="IO17" s="128"/>
      <c r="IP17" s="128"/>
      <c r="IQ17" s="128"/>
      <c r="IR17" s="128"/>
      <c r="IS17" s="128"/>
      <c r="IT17" s="128"/>
      <c r="IU17" s="128"/>
      <c r="IV17" s="128"/>
      <c r="IW17" s="128"/>
    </row>
    <row r="18" customFormat="false" ht="22.5" hidden="false" customHeight="true" outlineLevel="0" collapsed="false">
      <c r="A18" s="130" t="s">
        <v>652</v>
      </c>
      <c r="B18" s="130" t="s">
        <v>653</v>
      </c>
      <c r="C18" s="130" t="n">
        <v>200</v>
      </c>
      <c r="D18" s="130" t="n">
        <v>30</v>
      </c>
      <c r="E18" s="130" t="n">
        <v>0.085</v>
      </c>
      <c r="F18" s="130" t="n">
        <v>1700</v>
      </c>
      <c r="G18" s="130" t="n">
        <v>700</v>
      </c>
      <c r="H18" s="130" t="n">
        <v>190</v>
      </c>
      <c r="I18" s="130" t="n">
        <v>35</v>
      </c>
      <c r="J18" s="130" t="s">
        <v>654</v>
      </c>
      <c r="K18" s="130" t="s">
        <v>615</v>
      </c>
      <c r="L18" s="131" t="s">
        <v>655</v>
      </c>
      <c r="M18" s="130" t="n">
        <v>150</v>
      </c>
      <c r="N18" s="132" t="s">
        <v>604</v>
      </c>
      <c r="O18" s="132" t="n">
        <v>0.35</v>
      </c>
      <c r="P18" s="133" t="s">
        <v>605</v>
      </c>
      <c r="Q18" s="133" t="n">
        <v>2.3</v>
      </c>
      <c r="R18" s="128"/>
      <c r="S18" s="128"/>
      <c r="T18" s="128"/>
      <c r="U18" s="128"/>
      <c r="V18" s="128"/>
      <c r="W18" s="128"/>
      <c r="X18" s="128"/>
      <c r="Y18" s="128"/>
      <c r="Z18" s="128"/>
      <c r="AA18" s="128"/>
      <c r="AB18" s="128"/>
      <c r="AC18" s="128"/>
      <c r="AD18" s="128"/>
      <c r="AE18" s="128"/>
      <c r="AF18" s="128"/>
      <c r="AG18" s="128"/>
      <c r="AH18" s="128"/>
      <c r="AI18" s="128"/>
      <c r="AJ18" s="128"/>
      <c r="AK18" s="128"/>
      <c r="AL18" s="128"/>
      <c r="AM18" s="128"/>
      <c r="AN18" s="128"/>
      <c r="AO18" s="128"/>
      <c r="AP18" s="128"/>
      <c r="AQ18" s="128"/>
      <c r="AR18" s="128"/>
      <c r="AS18" s="128"/>
      <c r="AT18" s="128"/>
      <c r="AU18" s="128"/>
      <c r="AV18" s="128"/>
      <c r="AW18" s="128"/>
      <c r="AX18" s="128"/>
      <c r="AY18" s="128"/>
      <c r="AZ18" s="128"/>
      <c r="BA18" s="128"/>
      <c r="BB18" s="128"/>
      <c r="BC18" s="128"/>
      <c r="BD18" s="128"/>
      <c r="BE18" s="128"/>
      <c r="BF18" s="128"/>
      <c r="BG18" s="128"/>
      <c r="BH18" s="128"/>
      <c r="BI18" s="128"/>
      <c r="BJ18" s="128"/>
      <c r="BK18" s="128"/>
      <c r="BL18" s="128"/>
      <c r="BM18" s="128"/>
      <c r="BN18" s="128"/>
      <c r="BO18" s="128"/>
      <c r="BP18" s="128"/>
      <c r="BQ18" s="128"/>
      <c r="BR18" s="128"/>
      <c r="BS18" s="128"/>
      <c r="BT18" s="128"/>
      <c r="BU18" s="128"/>
      <c r="BV18" s="128"/>
      <c r="BW18" s="128"/>
      <c r="BX18" s="128"/>
      <c r="BY18" s="128"/>
      <c r="BZ18" s="128"/>
      <c r="CA18" s="128"/>
      <c r="CB18" s="128"/>
      <c r="CC18" s="128"/>
      <c r="CD18" s="128"/>
      <c r="CE18" s="128"/>
      <c r="CF18" s="128"/>
      <c r="CG18" s="128"/>
      <c r="CH18" s="128"/>
      <c r="CI18" s="128"/>
      <c r="CJ18" s="128"/>
      <c r="CK18" s="128"/>
      <c r="CL18" s="128"/>
      <c r="CM18" s="128"/>
      <c r="CN18" s="128"/>
      <c r="CO18" s="128"/>
      <c r="CP18" s="128"/>
      <c r="CQ18" s="128"/>
      <c r="CR18" s="128"/>
      <c r="CS18" s="128"/>
      <c r="CT18" s="128"/>
      <c r="CU18" s="128"/>
      <c r="CV18" s="128"/>
      <c r="CW18" s="128"/>
      <c r="CX18" s="128"/>
      <c r="CY18" s="128"/>
      <c r="CZ18" s="128"/>
      <c r="DA18" s="128"/>
      <c r="DB18" s="128"/>
      <c r="DC18" s="128"/>
      <c r="DD18" s="128"/>
      <c r="DE18" s="128"/>
      <c r="DF18" s="128"/>
      <c r="DG18" s="128"/>
      <c r="DH18" s="128"/>
      <c r="DI18" s="128"/>
      <c r="DJ18" s="128"/>
      <c r="DK18" s="128"/>
      <c r="DL18" s="128"/>
      <c r="DM18" s="128"/>
      <c r="DN18" s="128"/>
      <c r="DO18" s="128"/>
      <c r="DP18" s="128"/>
      <c r="DQ18" s="128"/>
      <c r="DR18" s="128"/>
      <c r="DS18" s="128"/>
      <c r="DT18" s="128"/>
      <c r="DU18" s="128"/>
      <c r="DV18" s="128"/>
      <c r="DW18" s="128"/>
      <c r="DX18" s="128"/>
      <c r="DY18" s="128"/>
      <c r="DZ18" s="128"/>
      <c r="EA18" s="128"/>
      <c r="EB18" s="128"/>
      <c r="EC18" s="128"/>
      <c r="ED18" s="128"/>
      <c r="EE18" s="128"/>
      <c r="EF18" s="128"/>
      <c r="EG18" s="128"/>
      <c r="EH18" s="128"/>
      <c r="EI18" s="128"/>
      <c r="EJ18" s="128"/>
      <c r="EK18" s="128"/>
      <c r="EL18" s="128"/>
      <c r="EM18" s="128"/>
      <c r="EN18" s="128"/>
      <c r="EO18" s="128"/>
      <c r="EP18" s="128"/>
      <c r="EQ18" s="128"/>
      <c r="ER18" s="128"/>
      <c r="ES18" s="128"/>
      <c r="ET18" s="128"/>
      <c r="EU18" s="128"/>
      <c r="EV18" s="128"/>
      <c r="EW18" s="128"/>
      <c r="EX18" s="128"/>
      <c r="EY18" s="128"/>
      <c r="EZ18" s="128"/>
      <c r="FA18" s="128"/>
      <c r="FB18" s="128"/>
      <c r="FC18" s="128"/>
      <c r="FD18" s="128"/>
      <c r="FE18" s="128"/>
      <c r="FF18" s="128"/>
      <c r="FG18" s="128"/>
      <c r="FH18" s="128"/>
      <c r="FI18" s="128"/>
      <c r="FJ18" s="128"/>
      <c r="FK18" s="128"/>
      <c r="FL18" s="128"/>
      <c r="FM18" s="128"/>
      <c r="FN18" s="128"/>
      <c r="FO18" s="128"/>
      <c r="FP18" s="128"/>
      <c r="FQ18" s="128"/>
      <c r="FR18" s="128"/>
      <c r="FS18" s="128"/>
      <c r="FT18" s="128"/>
      <c r="FU18" s="128"/>
      <c r="FV18" s="128"/>
      <c r="FW18" s="128"/>
      <c r="FX18" s="128"/>
      <c r="FY18" s="128"/>
      <c r="FZ18" s="128"/>
      <c r="GA18" s="128"/>
      <c r="GB18" s="128"/>
      <c r="GC18" s="128"/>
      <c r="GD18" s="128"/>
      <c r="GE18" s="128"/>
      <c r="GF18" s="128"/>
      <c r="GG18" s="128"/>
      <c r="GH18" s="128"/>
      <c r="GI18" s="128"/>
      <c r="GJ18" s="128"/>
      <c r="GK18" s="128"/>
      <c r="GL18" s="128"/>
      <c r="GM18" s="128"/>
      <c r="GN18" s="128"/>
      <c r="GO18" s="128"/>
      <c r="GP18" s="128"/>
      <c r="GQ18" s="128"/>
      <c r="GR18" s="128"/>
      <c r="GS18" s="128"/>
      <c r="GT18" s="128"/>
      <c r="GU18" s="128"/>
      <c r="GV18" s="128"/>
      <c r="GW18" s="128"/>
      <c r="GX18" s="128"/>
      <c r="GY18" s="128"/>
      <c r="GZ18" s="128"/>
      <c r="HA18" s="128"/>
      <c r="HB18" s="128"/>
      <c r="HC18" s="128"/>
      <c r="HD18" s="128"/>
      <c r="HE18" s="128"/>
      <c r="HF18" s="128"/>
      <c r="HG18" s="128"/>
      <c r="HH18" s="128"/>
      <c r="HI18" s="128"/>
      <c r="HJ18" s="128"/>
      <c r="HK18" s="128"/>
      <c r="HL18" s="128"/>
      <c r="HM18" s="128"/>
      <c r="HN18" s="128"/>
      <c r="HO18" s="128"/>
      <c r="HP18" s="128"/>
      <c r="HQ18" s="128"/>
      <c r="HR18" s="128"/>
      <c r="HS18" s="128"/>
      <c r="HT18" s="128"/>
      <c r="HU18" s="128"/>
      <c r="HV18" s="128"/>
      <c r="HW18" s="128"/>
      <c r="HX18" s="128"/>
      <c r="HY18" s="128"/>
      <c r="HZ18" s="128"/>
      <c r="IA18" s="128"/>
      <c r="IB18" s="128"/>
      <c r="IC18" s="128"/>
      <c r="ID18" s="128"/>
      <c r="IE18" s="128"/>
      <c r="IF18" s="128"/>
      <c r="IG18" s="128"/>
      <c r="IH18" s="128"/>
      <c r="II18" s="128"/>
      <c r="IJ18" s="128"/>
      <c r="IK18" s="128"/>
      <c r="IL18" s="128"/>
      <c r="IM18" s="128"/>
      <c r="IN18" s="128"/>
      <c r="IO18" s="128"/>
      <c r="IP18" s="128"/>
      <c r="IQ18" s="128"/>
      <c r="IR18" s="128"/>
      <c r="IS18" s="128"/>
      <c r="IT18" s="128"/>
      <c r="IU18" s="128"/>
      <c r="IV18" s="128"/>
      <c r="IW18" s="128"/>
    </row>
    <row r="19" customFormat="false" ht="44.25" hidden="false" customHeight="true" outlineLevel="0" collapsed="false">
      <c r="A19" s="130" t="s">
        <v>656</v>
      </c>
      <c r="B19" s="130" t="s">
        <v>657</v>
      </c>
      <c r="C19" s="130" t="n">
        <v>60</v>
      </c>
      <c r="D19" s="130" t="n">
        <v>2</v>
      </c>
      <c r="E19" s="130" t="n">
        <v>2.5</v>
      </c>
      <c r="F19" s="130" t="n">
        <v>50</v>
      </c>
      <c r="G19" s="130" t="n">
        <v>20</v>
      </c>
      <c r="H19" s="130" t="n">
        <v>12</v>
      </c>
      <c r="I19" s="130" t="n">
        <v>250</v>
      </c>
      <c r="J19" s="130" t="s">
        <v>658</v>
      </c>
      <c r="K19" s="130" t="s">
        <v>611</v>
      </c>
      <c r="L19" s="131" t="s">
        <v>659</v>
      </c>
      <c r="M19" s="130" t="n">
        <v>150</v>
      </c>
      <c r="N19" s="132" t="s">
        <v>592</v>
      </c>
      <c r="O19" s="132" t="n">
        <v>0.4</v>
      </c>
      <c r="P19" s="133" t="s">
        <v>593</v>
      </c>
      <c r="Q19" s="133" t="n">
        <v>2.5</v>
      </c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28"/>
      <c r="AC19" s="128"/>
      <c r="AD19" s="128"/>
      <c r="AE19" s="128"/>
      <c r="AF19" s="128"/>
      <c r="AG19" s="128"/>
      <c r="AH19" s="128"/>
      <c r="AI19" s="128"/>
      <c r="AJ19" s="128"/>
      <c r="AK19" s="128"/>
      <c r="AL19" s="128"/>
      <c r="AM19" s="128"/>
      <c r="AN19" s="128"/>
      <c r="AO19" s="128"/>
      <c r="AP19" s="128"/>
      <c r="AQ19" s="128"/>
      <c r="AR19" s="128"/>
      <c r="AS19" s="128"/>
      <c r="AT19" s="128"/>
      <c r="AU19" s="128"/>
      <c r="AV19" s="128"/>
      <c r="AW19" s="128"/>
      <c r="AX19" s="128"/>
      <c r="AY19" s="128"/>
      <c r="AZ19" s="128"/>
      <c r="BA19" s="128"/>
      <c r="BB19" s="128"/>
      <c r="BC19" s="128"/>
      <c r="BD19" s="128"/>
      <c r="BE19" s="128"/>
      <c r="BF19" s="128"/>
      <c r="BG19" s="128"/>
      <c r="BH19" s="128"/>
      <c r="BI19" s="128"/>
      <c r="BJ19" s="128"/>
      <c r="BK19" s="128"/>
      <c r="BL19" s="128"/>
      <c r="BM19" s="128"/>
      <c r="BN19" s="128"/>
      <c r="BO19" s="128"/>
      <c r="BP19" s="128"/>
      <c r="BQ19" s="128"/>
      <c r="BR19" s="128"/>
      <c r="BS19" s="128"/>
      <c r="BT19" s="128"/>
      <c r="BU19" s="128"/>
      <c r="BV19" s="128"/>
      <c r="BW19" s="128"/>
      <c r="BX19" s="128"/>
      <c r="BY19" s="128"/>
      <c r="BZ19" s="128"/>
      <c r="CA19" s="128"/>
      <c r="CB19" s="128"/>
      <c r="CC19" s="128"/>
      <c r="CD19" s="128"/>
      <c r="CE19" s="128"/>
      <c r="CF19" s="128"/>
      <c r="CG19" s="128"/>
      <c r="CH19" s="128"/>
      <c r="CI19" s="128"/>
      <c r="CJ19" s="128"/>
      <c r="CK19" s="128"/>
      <c r="CL19" s="128"/>
      <c r="CM19" s="128"/>
      <c r="CN19" s="128"/>
      <c r="CO19" s="128"/>
      <c r="CP19" s="128"/>
      <c r="CQ19" s="128"/>
      <c r="CR19" s="128"/>
      <c r="CS19" s="128"/>
      <c r="CT19" s="128"/>
      <c r="CU19" s="128"/>
      <c r="CV19" s="128"/>
      <c r="CW19" s="128"/>
      <c r="CX19" s="128"/>
      <c r="CY19" s="128"/>
      <c r="CZ19" s="128"/>
      <c r="DA19" s="128"/>
      <c r="DB19" s="128"/>
      <c r="DC19" s="128"/>
      <c r="DD19" s="128"/>
      <c r="DE19" s="128"/>
      <c r="DF19" s="128"/>
      <c r="DG19" s="128"/>
      <c r="DH19" s="128"/>
      <c r="DI19" s="128"/>
      <c r="DJ19" s="128"/>
      <c r="DK19" s="128"/>
      <c r="DL19" s="128"/>
      <c r="DM19" s="128"/>
      <c r="DN19" s="128"/>
      <c r="DO19" s="128"/>
      <c r="DP19" s="128"/>
      <c r="DQ19" s="128"/>
      <c r="DR19" s="128"/>
      <c r="DS19" s="128"/>
      <c r="DT19" s="128"/>
      <c r="DU19" s="128"/>
      <c r="DV19" s="128"/>
      <c r="DW19" s="128"/>
      <c r="DX19" s="128"/>
      <c r="DY19" s="128"/>
      <c r="DZ19" s="128"/>
      <c r="EA19" s="128"/>
      <c r="EB19" s="128"/>
      <c r="EC19" s="128"/>
      <c r="ED19" s="128"/>
      <c r="EE19" s="128"/>
      <c r="EF19" s="128"/>
      <c r="EG19" s="128"/>
      <c r="EH19" s="128"/>
      <c r="EI19" s="128"/>
      <c r="EJ19" s="128"/>
      <c r="EK19" s="128"/>
      <c r="EL19" s="128"/>
      <c r="EM19" s="128"/>
      <c r="EN19" s="128"/>
      <c r="EO19" s="128"/>
      <c r="EP19" s="128"/>
      <c r="EQ19" s="128"/>
      <c r="ER19" s="128"/>
      <c r="ES19" s="128"/>
      <c r="ET19" s="128"/>
      <c r="EU19" s="128"/>
      <c r="EV19" s="128"/>
      <c r="EW19" s="128"/>
      <c r="EX19" s="128"/>
      <c r="EY19" s="128"/>
      <c r="EZ19" s="128"/>
      <c r="FA19" s="128"/>
      <c r="FB19" s="128"/>
      <c r="FC19" s="128"/>
      <c r="FD19" s="128"/>
      <c r="FE19" s="128"/>
      <c r="FF19" s="128"/>
      <c r="FG19" s="128"/>
      <c r="FH19" s="128"/>
      <c r="FI19" s="128"/>
      <c r="FJ19" s="128"/>
      <c r="FK19" s="128"/>
      <c r="FL19" s="128"/>
      <c r="FM19" s="128"/>
      <c r="FN19" s="128"/>
      <c r="FO19" s="128"/>
      <c r="FP19" s="128"/>
      <c r="FQ19" s="128"/>
      <c r="FR19" s="128"/>
      <c r="FS19" s="128"/>
      <c r="FT19" s="128"/>
      <c r="FU19" s="128"/>
      <c r="FV19" s="128"/>
      <c r="FW19" s="128"/>
      <c r="FX19" s="128"/>
      <c r="FY19" s="128"/>
      <c r="FZ19" s="128"/>
      <c r="GA19" s="128"/>
      <c r="GB19" s="128"/>
      <c r="GC19" s="128"/>
      <c r="GD19" s="128"/>
      <c r="GE19" s="128"/>
      <c r="GF19" s="128"/>
      <c r="GG19" s="128"/>
      <c r="GH19" s="128"/>
      <c r="GI19" s="128"/>
      <c r="GJ19" s="128"/>
      <c r="GK19" s="128"/>
      <c r="GL19" s="128"/>
      <c r="GM19" s="128"/>
      <c r="GN19" s="128"/>
      <c r="GO19" s="128"/>
      <c r="GP19" s="128"/>
      <c r="GQ19" s="128"/>
      <c r="GR19" s="128"/>
      <c r="GS19" s="128"/>
      <c r="GT19" s="128"/>
      <c r="GU19" s="128"/>
      <c r="GV19" s="128"/>
      <c r="GW19" s="128"/>
      <c r="GX19" s="128"/>
      <c r="GY19" s="128"/>
      <c r="GZ19" s="128"/>
      <c r="HA19" s="128"/>
      <c r="HB19" s="128"/>
      <c r="HC19" s="128"/>
      <c r="HD19" s="128"/>
      <c r="HE19" s="128"/>
      <c r="HF19" s="128"/>
      <c r="HG19" s="128"/>
      <c r="HH19" s="128"/>
      <c r="HI19" s="128"/>
      <c r="HJ19" s="128"/>
      <c r="HK19" s="128"/>
      <c r="HL19" s="128"/>
      <c r="HM19" s="128"/>
      <c r="HN19" s="128"/>
      <c r="HO19" s="128"/>
      <c r="HP19" s="128"/>
      <c r="HQ19" s="128"/>
      <c r="HR19" s="128"/>
      <c r="HS19" s="128"/>
      <c r="HT19" s="128"/>
      <c r="HU19" s="128"/>
      <c r="HV19" s="128"/>
      <c r="HW19" s="128"/>
      <c r="HX19" s="128"/>
      <c r="HY19" s="128"/>
      <c r="HZ19" s="128"/>
      <c r="IA19" s="128"/>
      <c r="IB19" s="128"/>
      <c r="IC19" s="128"/>
      <c r="ID19" s="128"/>
      <c r="IE19" s="128"/>
      <c r="IF19" s="128"/>
      <c r="IG19" s="128"/>
      <c r="IH19" s="128"/>
      <c r="II19" s="128"/>
      <c r="IJ19" s="128"/>
      <c r="IK19" s="128"/>
      <c r="IL19" s="128"/>
      <c r="IM19" s="128"/>
      <c r="IN19" s="128"/>
      <c r="IO19" s="128"/>
      <c r="IP19" s="128"/>
      <c r="IQ19" s="128"/>
      <c r="IR19" s="128"/>
      <c r="IS19" s="128"/>
      <c r="IT19" s="128"/>
      <c r="IU19" s="128"/>
      <c r="IV19" s="128"/>
      <c r="IW19" s="128"/>
    </row>
    <row r="20" customFormat="false" ht="15" hidden="false" customHeight="true" outlineLevel="0" collapsed="false">
      <c r="B20" s="128"/>
      <c r="C20" s="128"/>
      <c r="D20" s="128"/>
      <c r="E20" s="128"/>
      <c r="F20" s="128"/>
      <c r="G20" s="128"/>
      <c r="H20" s="128"/>
      <c r="I20" s="128"/>
      <c r="J20" s="128"/>
      <c r="K20" s="128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</TotalTime>
  <Application>LibreOffice/25.8.6.2$Linux_X86_64 LibreOffice_project/580$Build-2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2026-04-05T22:43:46Z</dcterms:created>
  <dc:creator>openpyxl</dc:creator>
  <dc:description/>
  <dc:language>es-AR</dc:language>
  <cp:lastModifiedBy/>
  <dcterms:modified xsi:type="dcterms:W3CDTF">2026-04-19T12:39:07Z</dcterms:modified>
  <cp:revision>299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