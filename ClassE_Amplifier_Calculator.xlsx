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LPF Direct 5-poles" sheetId="2" state="visible" r:id="rId4"/>
    <sheet name="LPF Direct 7-pole" sheetId="3" state="visible" r:id="rId5"/>
    <sheet name="MOSFET Reference Table" sheetId="4" state="visible" r:id="rId6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FIXED: Added distinction between I_D(continuous) and I_pk(peak). I_D(cont) from MOSFET table is compared against I_pk=2.862*Idc. For devices where I_D(cont) &lt; I_pk but &gt; I_pk/2, added advisory to check I_D(pulsed) from datasheet (typically 2-4x I_D(cont)).</t>
        </r>
      </text>
    </commen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  <comment ref="J95" authorId="0">
      <text>
        <r>
          <rPr>
            <sz val="10"/>
            <rFont val="Arial"/>
            <family val="2"/>
          </rPr>
          <t xml:space="preserve">FIXED: Now uses (V_pk²−Vo²) = Coss capacitor energy integral from Vo to V_pk.
Old formula: 0.5·Coss·V_pk²·f·k — incorrect for BJT (Vo&gt;0).
New formula: 0.5·Coss·(V_pk²−Vo²)·f·k — exact energy ∫[Vo→V_pk] C·V dV.
For MOSFET (Vo=0): V_pk²−Vo²=V_pk² → identical result, no change.
For BJT (Vo=0.5V, Vcc=5V): ~0.09% correction (negligible but now exact).</t>
        </r>
      </text>
    </comment>
    <comment ref="J97" authorId="0">
      <text>
        <r>
          <rPr>
            <sz val="10"/>
            <rFont val="Arial"/>
            <family val="2"/>
          </rPr>
          <t xml:space="preserve">FIXED: Now uses C88 (converged total η) as P_in basis, not J92 (resistive-only η).
This corrects J98 (switching loss power) and J99 (MOSFET thermal) to use true P_in.
Bug: J97=P_out/J92 underestimated P_in by η_resistive/η_total-1 ≈ 2–5%.
No circular dependency: J98/J99 do not feed back into C88.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4" authorId="0">
      <text>
        <r>
          <rPr>
            <sz val="10"/>
            <rFont val="Arial"/>
            <family val="2"/>
          </rPr>
          <t xml:space="preserve">FIXED: Updated from 2.0 to 2.5. NXP BS170 datasheet (Rev.9 2016): Rds(on) vs Tj follows approximately T^2.5 power law. Using 2.0 underestimated Rds at elevated temperature by ~10%.</t>
        </r>
      </text>
    </comment>
    <comment ref="Q5" authorId="0">
      <text>
        <r>
          <rPr>
            <sz val="10"/>
            <rFont val="Arial"/>
            <family val="2"/>
          </rPr>
          <t xml:space="preserve">FIXED: Updated from 2.0 to 2.5. ON Semiconductor 2N7000 datasheet: Rds(on) temperature coefficient consistent with T^2.5 exponent for Si-planar.</t>
        </r>
      </text>
    </comment>
  </commentList>
</comments>
</file>

<file path=xl/sharedStrings.xml><?xml version="1.0" encoding="utf-8"?>
<sst xmlns="http://schemas.openxmlformats.org/spreadsheetml/2006/main" count="576" uniqueCount="318">
  <si>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</si>
  <si>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</si>
  <si>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</si>
  <si>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term [−ESR_RFC·I_dc/(Vcc−ΔV)] &amp; Coss-fraction term [−J95/((Vcc−ΔV)·I_dc)] in J96 → η(C88). NOTE: J95 = Coss power [W] (NOT RFC loss) — the RFC loss and Coss loss fraction are both in J96..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</si>
  <si>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</si>
  <si>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</si>
  <si>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</si>
  <si>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</si>
  <si>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</si>
  <si>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</si>
  <si>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</si>
  <si>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</si>
  <si>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</si>
  <si>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</si>
  <si>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</si>
  <si>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</si>
  <si>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</si>
  <si>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</si>
  <si>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</si>
  <si>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</si>
  <si>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</si>
  <si>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</si>
  <si>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</si>
  <si>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</si>
  <si>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</si>
  <si>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</si>
  <si>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</si>
  <si>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</si>
  <si>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</si>
  <si>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</si>
  <si>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</si>
  <si>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</si>
  <si>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</si>
  <si>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</si>
  <si>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</si>
  <si>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</si>
  <si>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</si>
  <si>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</si>
  <si>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</si>
  <si>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</si>
  <si>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</si>
  <si>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</si>
  <si>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</si>
  <si>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I36 to override (replace its formula with your value))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</si>
  <si>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⚠ To override k_coss: type your value directly into I36 (replacing =H36 formula). Example: 0.08 for LDMOS/GaN ZVS, 0.35 for Si-DMOS poor-ZVS, 0.40–0.50 for Si-planar poor-ZVS. Default formula =H36 auto-selects by device type from H36. J95 now uses I36.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</si>
  <si>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</si>
  <si>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</si>
  <si>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</si>
  <si>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</si>
  <si>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</si>
  <si>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</si>
  <si>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</si>
  <si>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</si>
  <si>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</si>
  <si>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</si>
  <si>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</si>
  <si>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DC supply current. Uses V_eff=(Vcc−ΔV−Vo) in denominator. MOSFET (Vo=0): I_dc = Pout/((Vcc−ΔV)×η) ← IMPROVED (Sokal Eq.3 uses Vcc alone; ΔV correction here gives more accurate I_dc when supply droop ΔV&gt;0). BJT (Vo&gt;0): I_dc = Pout/((Vcc−ΔV−Vo)×η) — KNOWN CONSERVATIVE APPROXIMATION: overestimates I_dc by Vo/(Vcc−ΔV−Vo)×100% vs Sokal eq.3 which uses Vcc alone. Example: Vo=0.5V, Vcc=5V → +11% overestimate. This is intentional (safe-side for I_pk and thermal calculations). R formula (C42) and I_dc both use Veff consistently. Press F9 until C88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</si>
  <si>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</si>
  <si>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</si>
  <si>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</si>
  <si>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</si>
  <si>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</si>
  <si>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</si>
  <si>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downstream dependency, not feedback loop: C1 does not feed back into η. The convergence check in C6 explicitly verifies C1 self-consistency. Subtract MOSFET Coss (C32, scaled by C36) for external cap C1_ext (C33). | ℹ ACCURACY: Polynomial matches Sokal Table I to within ±0.18% across all valid QL (1.7879–∞). C1 (C48/C49) is C1_TOTAL (Coss_eff + external cap). The external capacitor to physically fit is C1_ext = C1_total − Coss_eff (see C33). ⚠ For QL &gt; 7, Kazimierczuk &amp; Puczko (1987) exact analysis may differ slightly due to higher-order RFC interaction; treat C1 as a starting point and optimise ZVS with LTspice for QL &gt; 7.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</si>
  <si>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</si>
  <si>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</si>
  <si>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</si>
  <si>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</si>
  <si>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</si>
  <si>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</si>
  <si>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</si>
  <si>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</si>
  <si>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</si>
  <si>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</si>
  <si>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</si>
  <si>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</si>
  <si>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</si>
  <si>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⚠ RFC OVERRIDE PROCEDURE — READ CAREFULLY: (1) Calculate your RFC in µH. (2) Enter the value ÷ 1,000,000 (in Henrys) DIRECTLY INTO C54 — replace its formula. Example: 20 µH → type 0.000020 into C54. 🚫 DO NOT CHANGE C55 — C55 auto-displays C54 in µH and C1/C2 use C54. Editing C55 does NOT update C1 or C2. Editing C55 means C1 and C2 keep using old RFC value silently! To restore auto-RFC: delete C54 content and re-enter =50*C42/C41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</si>
  <si>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</si>
  <si>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</si>
  <si>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</si>
  <si>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</si>
  <si>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</si>
  <si>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</si>
  <si>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</si>
  <si>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</si>
  <si>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</si>
  <si>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</si>
  <si>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</si>
  <si>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</si>
  <si>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</si>
  <si>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</si>
  <si>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</si>
  <si>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</si>
  <si>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</si>
  <si>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</si>
  <si>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</si>
  <si>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</si>
  <si>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In Step-DOWN (R_drain &gt; Z_load): Shunt C_match at DRAIN (HIGH-Z) side, series L_match toward load. In Step-UP (R_drain &lt; Z_load, typical QRP Class-E): Series L_match from DRAIN (LOW-Z), then Shunt C_match at LOAD (HIGH-Z, 50Ω) side. Both give LOW-PASS L-network response for better harmonic rejection. L_match=Q×R_min/ω; C_match=Q/(ω×R_max). ⚠ L-NETWORK PROVIDES IMPEDANCE MATCH ONLY — add the 5-7 element Chebyshev LPF for harmonic attenuation ≥43 dBc (FCC §97.307) / ≥50 dBc (IARU).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</si>
  <si>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</si>
  <si>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</si>
  <si>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</si>
  <si>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</si>
  <si>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</si>
  <si>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</si>
  <si>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</si>
  <si>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(C28, real part after Xciss cancellation by L_in), NOT |Zg|]</t>
  </si>
  <si>
    <t xml:space="preserve">Q_in uses R_gate (C28) — the real part of gate impedance after the resonating inductor L_in cancels reactive Xciss — not |Zg| (C75). Using |Zg| would give incorrect Q because Xciss is neutralised by L_in. Q_in = √(Z_max/Z_min − 1) where Z_max=MAX(Z_source, R_gate) and Z_min=MIN(Z_source, R_gate). Note: C27 is Ciss (pF), C28 is R_gate (Ω) — the formula correctly uses C28.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</si>
  <si>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</si>
  <si>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</si>
  <si>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</si>
  <si>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</si>
  <si>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</si>
  <si>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= 3.562×(Vcc_eff−Vo)+Vo   where Vcc_eff = Vcc−ΔV   ⚠</t>
  </si>
  <si>
    <t xml:space="preserve">⚠ V_pk = 3.562×(Vcc_eff−Vo) where Vcc_eff = Vcc−ΔV (C16−C35). Peak drain voltage scales with the effective supply voltage — supply droop DOES reduce V_pk. This formula is now consistent with V_eff (C44) and the Coss-loss formula (J94). Vo = 0 for MOSFETs; use Vce(sat) or RCE(sat)×Ic for BJTs (standard Sokal formulation). Under mistuned conditions V_pk can reach 5×Vcc_eff or more. During bench testing/tuning, reduce Vcc to 30% of design value. Choose MOSFET with V_DSS ≥ 3.56×safety_factor×Vcc_eff (see C84).</t>
  </si>
  <si>
    <t xml:space="preserve">Minimum MOSFET V_DSS required  (C37×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</si>
  <si>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</si>
  <si>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</si>
  <si>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</si>
  <si>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</si>
  <si>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</si>
  <si>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</si>
  <si>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C21)</t>
  </si>
  <si>
    <t xml:space="preserve">Power Dissipated  P_diss = Vcc·I_dc − P_out</t>
  </si>
  <si>
    <t xml:space="preserve">Device dissipation = power arriving at circuit node minus output = (Vcc−ΔV)×I_dc − P_out. Supply droop ΔV is wiring resistance loss EXTERNAL to the device — correctly excluded from device P_diss. Total power waste = Vcc×I_dc − P_out = P_diss + ΔV×I_dc (wiring). ⚠ For thermal heatsink design: θ_JA calc uses this P_diss (device only) — correct. For PSU sizing: add wiring loss ΔV×I_dc to P_diss. I_dc (C43) uses predicted η (C88) when numeric; falls back to user η (C21).</t>
  </si>
  <si>
    <t xml:space="preserve">ℹ I88 (derated η): Uses original I_dc (C43), not re-computed derated I_dc — first-order estimate; underestimates RFC/Coss loss at derated conditions by ~10-15%. Informational only.</t>
  </si>
  <si>
    <t xml:space="preserve">Max Allowable θ_JA  =  (T_j_max − T_amb) / P_diss</t>
  </si>
  <si>
    <t xml:space="preserve">°C/W</t>
  </si>
  <si>
    <t xml:space="preserve">Denominator uses min(J99, C89). J99 = MOSFET-only losses: 1.365×I_dc²×Rds(on) [I_rms_switch²×Rds; 1.365 from Raab 1977 waveform integration] + P_switching (J98) + P_Coss (J95). NOTE: J98 = switching loss ONLY; J99 = total MOSFET thermal loss. External component losses (ESR_L2, ESR_C2, RFC, C1 ESR) heat passive components NOT the MOSFET die. LDMOS detection via column P in MOSFET Reference Table. Fallback T_j_max: LDMOS→200°C, Si→150°C.</t>
  </si>
  <si>
    <t xml:space="preserve">C2 Coeff Cross-Check:  (C2×ω×R) vs Sokal Table I  |  QL = C19</t>
  </si>
  <si>
    <t xml:space="preserve">Explicit guard for QL &lt; 1.7879 prevents silent errors. Cross-check verifies the Sokal polynomial coefficients in C52 (1.00121, 1.01468, 0.104823, 1.7879). ⚠ NOTE: The RFC correction coefficient (0.2 in C52 and added back as 0.2 in C91) cannot be independently verified by this cross-check because it algebraically cancels out — C91 is tautological with respect to that term. To verify RFC coefficient: compute C52·ω·R at RFC=∞ (omit RFC term) and compare to base Sokal Eq.9. The polynomial coefficients themselves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</si>
  <si>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</si>
  <si>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</si>
  <si>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</si>
  <si>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</si>
  <si>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</si>
  <si>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</si>
  <si>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</si>
  <si>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</si>
  <si>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</si>
  <si>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</si>
  <si>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</si>
  <si>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</si>
  <si>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</si>
  <si>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</si>
  <si>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</si>
  <si>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</si>
  <si>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</si>
  <si>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</si>
  <si>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</si>
  <si>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</si>
  <si>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</si>
  <si>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</si>
  <si>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</si>
  <si>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</si>
  <si>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</si>
  <si>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</si>
  <si>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</si>
  <si>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</si>
  <si>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</si>
  <si>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</si>
  <si>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</si>
  <si>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</si>
  <si>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</si>
  <si>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</si>
  <si>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</si>
  <si>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</si>
  <si>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</si>
  <si>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</si>
  <si>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</si>
  <si>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</si>
  <si>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</si>
  <si>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</si>
  <si>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</si>
  <si>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</si>
  <si>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</si>
  <si>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</si>
  <si>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</si>
  <si>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</si>
  <si>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</si>
  <si>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</si>
  <si>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</si>
  <si>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</si>
  <si>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</si>
  <si>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</si>
  <si>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</si>
  <si>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</si>
  <si>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</si>
  <si>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</si>
  <si>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</si>
  <si>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</si>
  <si>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V_pk = MAX(3.562×(Vcc−ΔV−Vo)+Vo, 3.562×(Vcc−Vo)+Vo). [FIXED: Uses MAX to ensure capacitor voltage rating is never reduced by supply droop ΔV — the drain RF voltage swing is decoupled from DC supply droop by the RFC choke. Using the higher no-droop V_pk conservatively protects LPF capacitors.]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</si>
  <si>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</si>
  <si>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</si>
  <si>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</si>
  <si>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</si>
  <si>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</si>
  <si>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</si>
  <si>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</si>
  <si>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</si>
  <si>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</si>
  <si>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</si>
  <si>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</si>
  <si>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</si>
  <si>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</si>
  <si>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UPPER BOUND — symmetric formula used; actual can be 10–20 dB lower for n≠1</t>
  </si>
  <si>
    <t xml:space="preserve">Attenuation at 3rd harmonic (3f)  ⚠ UPPER BOUND — symmetric formula used; actual can be 10–20 dB lower for n≠1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</si>
  <si>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</si>
  <si>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</si>
  <si>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</si>
  <si>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</si>
  <si>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</si>
  <si>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</si>
  <si>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</si>
  <si>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</si>
  <si>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</si>
  <si>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</si>
  <si>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</si>
  <si>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</si>
  <si>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Z0_eff=√(R_opt×Z_load) as the reference impedance for the centre shunt capacitor. [CORRECTED: Previous version incorrectly used R_opt, over-sizing C4 by up to 24% for typical n=1.55 and degrading 2f stopband rejection by 3–7 dB. The correct asymmetric ladder formula (Williams &amp; Taylor, Electronic Filter Design Handbook, §11.2) uses Z0_eff for the centre element, R_opt for the source-side cap (C2), and Z_load for the load-side cap (C6).] NP0/C0G or silver-mica; rated ≥2× V_pk. Verify final design with LTspice.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</si>
  <si>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</si>
  <si>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</si>
  <si>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</si>
  <si>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</si>
  <si>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</si>
  <si>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</si>
  <si>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</si>
  <si>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</si>
  <si>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</si>
  <si>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</si>
  <si>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</si>
  <si>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</si>
  <si>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</si>
  <si>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</si>
  <si>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</si>
  <si>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</si>
  <si>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</si>
  <si>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</si>
  <si>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</si>
  <si>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</si>
  <si>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</si>
  <si>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</si>
  <si>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</si>
  <si>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</si>
  <si>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</si>
  <si>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</si>
  <si>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</si>
  <si>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</si>
  <si>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</si>
  <si>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</si>
  <si>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</si>
  <si>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</si>
  <si>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</si>
  <si>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</si>
  <si>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</si>
  <si>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</si>
  <si>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</si>
  <si>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</si>
  <si>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</si>
  <si>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</si>
  <si>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</si>
  <si>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</si>
  <si>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</si>
  <si>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</si>
  <si>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</si>
  <si>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</si>
  <si>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</si>
  <si>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</si>
  <si>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</si>
  <si>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</si>
  <si>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</si>
  <si>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</si>
  <si>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</si>
  <si>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</si>
  <si>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</si>
  <si>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</si>
  <si>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</si>
  <si>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</si>
  <si>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</si>
  <si>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</si>
  <si>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</si>
  <si>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</si>
  <si>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</si>
  <si>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</si>
  <si>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</si>
  <si>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</si>
  <si>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</si>
  <si>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</si>
  <si>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</si>
  <si>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</si>
  <si>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</si>
  <si>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</si>
  <si>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</si>
  <si>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</si>
  <si>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</si>
  <si>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</si>
  <si>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</si>
  <si>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</si>
  <si>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</si>
  <si>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</si>
  <si>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</si>
  <si>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</si>
  <si>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</si>
  <si>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</si>
  <si>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</si>
  <si>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</si>
  <si>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</si>
  <si>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</si>
  <si>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</si>
  <si>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candidate. ⚠ I_D=10A in column D is the CONTINUOUS drain current rating; pulsed I_D(pulsed)=20A. Continuous I_pk (C84) must be ≤ 10A.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</si>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</sst>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b val="true"/>
      <sz val="9"/>
      <color rgb="FFFF88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88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3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79.55"/>
    <col collapsed="false" customWidth="true" hidden="false" outlineLevel="0" max="3" min="3" style="2" width="17.95"/>
    <col collapsed="false" customWidth="true" hidden="false" outlineLevel="0" max="4" min="4" style="1" width="6.72"/>
    <col collapsed="false" customWidth="true" hidden="false" outlineLevel="0" max="5" min="5" style="3" width="22.53"/>
    <col collapsed="false" customWidth="true" hidden="false" outlineLevel="0" max="6" min="6" style="4" width="69.56"/>
    <col collapsed="false" customWidth="true" hidden="false" outlineLevel="0" max="7" min="7" style="4" width="38.33"/>
    <col collapsed="false" customWidth="true" hidden="false" outlineLevel="0" max="8" min="8" style="3" width="45.29"/>
    <col collapsed="false" customWidth="true" hidden="false" outlineLevel="0" max="9" min="9" style="3" width="41.95"/>
    <col collapsed="false" customWidth="true" hidden="true" outlineLevel="0" max="10" min="10" style="4" width="2.55"/>
    <col collapsed="false" customWidth="true" hidden="false" outlineLevel="0" max="11" min="11" style="3" width="2.55"/>
    <col collapsed="false" customWidth="false" hidden="false" outlineLevel="0" max="12" min="12" style="3" width="8.64"/>
    <col collapsed="false" customWidth="false" hidden="false" outlineLevel="0" max="256" min="13" style="1" width="8.64"/>
    <col collapsed="false" customWidth="false" hidden="false" outlineLevel="0" max="16383" min="257" style="5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8"/>
      <c r="J1" s="10"/>
      <c r="K1" s="8"/>
    </row>
    <row r="2" customFormat="false" ht="15.65" hidden="false" customHeight="false" outlineLevel="0" collapsed="false">
      <c r="A2" s="6"/>
      <c r="B2" s="11" t="s">
        <v>0</v>
      </c>
      <c r="C2" s="11"/>
      <c r="D2" s="12"/>
      <c r="E2" s="11"/>
      <c r="F2" s="12"/>
      <c r="G2" s="12"/>
      <c r="H2" s="11"/>
      <c r="I2" s="8"/>
      <c r="J2" s="10"/>
      <c r="K2" s="8"/>
    </row>
    <row r="3" customFormat="false" ht="15" hidden="false" customHeight="false" outlineLevel="0" collapsed="false">
      <c r="A3" s="6"/>
      <c r="B3" s="13" t="s">
        <v>1</v>
      </c>
      <c r="C3" s="11"/>
      <c r="D3" s="12"/>
      <c r="E3" s="11"/>
      <c r="F3" s="12"/>
      <c r="G3" s="12"/>
      <c r="H3" s="11"/>
      <c r="I3" s="8"/>
      <c r="J3" s="10"/>
      <c r="K3" s="8"/>
    </row>
    <row r="4" customFormat="false" ht="15" hidden="false" customHeight="false" outlineLevel="0" collapsed="false">
      <c r="A4" s="6"/>
      <c r="B4" s="14" t="s">
        <v>2</v>
      </c>
      <c r="C4" s="11"/>
      <c r="D4" s="12"/>
      <c r="E4" s="11"/>
      <c r="F4" s="12"/>
      <c r="G4" s="12"/>
      <c r="H4" s="11"/>
      <c r="I4" s="8"/>
      <c r="J4" s="10"/>
      <c r="K4" s="8"/>
    </row>
    <row r="5" customFormat="false" ht="15" hidden="false" customHeight="false" outlineLevel="0" collapsed="false">
      <c r="A5" s="6"/>
      <c r="B5" s="14"/>
      <c r="C5" s="11"/>
      <c r="D5" s="12"/>
      <c r="E5" s="11"/>
      <c r="F5" s="12"/>
      <c r="G5" s="12"/>
      <c r="H5" s="11"/>
      <c r="I5" s="8"/>
      <c r="J5" s="10"/>
      <c r="K5" s="8"/>
    </row>
    <row r="6" customFormat="false" ht="99.75" hidden="false" customHeight="false" outlineLevel="0" collapsed="false">
      <c r="A6" s="6"/>
      <c r="B6" s="15" t="s">
        <v>3</v>
      </c>
      <c r="C6" s="15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η=0.8054 — if this value changes when you press F9, keep pressing. When stable: ✅ CONVERGED.</v>
      </c>
      <c r="D6" s="16" t="n">
        <f aca="false">C88</f>
        <v>0.805422403463108</v>
      </c>
      <c r="E6" s="11"/>
      <c r="F6" s="12"/>
      <c r="G6" s="12"/>
      <c r="H6" s="17"/>
      <c r="I6" s="8"/>
      <c r="J6" s="10"/>
      <c r="K6" s="18"/>
    </row>
    <row r="7" customFormat="false" ht="15" hidden="false" customHeight="false" outlineLevel="0" collapsed="false">
      <c r="A7" s="6"/>
      <c r="B7" s="19"/>
      <c r="C7" s="11"/>
      <c r="D7" s="12"/>
      <c r="E7" s="11"/>
      <c r="F7" s="12"/>
      <c r="G7" s="12"/>
      <c r="H7" s="11"/>
      <c r="I7" s="8"/>
      <c r="J7" s="10"/>
      <c r="K7" s="8"/>
    </row>
    <row r="8" customFormat="false" ht="15" hidden="false" customHeight="false" outlineLevel="0" collapsed="false">
      <c r="A8" s="6"/>
      <c r="B8" s="12" t="s">
        <v>4</v>
      </c>
      <c r="C8" s="7"/>
      <c r="D8" s="12"/>
      <c r="E8" s="11"/>
      <c r="F8" s="12"/>
      <c r="G8" s="12"/>
      <c r="H8" s="11"/>
      <c r="I8" s="8"/>
      <c r="J8" s="10"/>
      <c r="K8" s="8"/>
    </row>
    <row r="9" customFormat="false" ht="15" hidden="false" customHeight="false" outlineLevel="0" collapsed="false">
      <c r="A9" s="6"/>
      <c r="B9" s="12" t="s">
        <v>5</v>
      </c>
      <c r="C9" s="20"/>
      <c r="D9" s="21"/>
      <c r="E9" s="22"/>
      <c r="F9" s="21"/>
      <c r="G9" s="21"/>
      <c r="H9" s="22"/>
      <c r="I9" s="8" t="str">
        <f aca="false">IF(ISNUMBER(IFERROR(VLOOKUP(B9,'MOSFET Reference Table'!$A:$E,5,0)*1,0)),"","⚠ LDMOS/no Rds(on) — efficiency model INACTIVE for this device. C88 returns a warning string; I_dc uses input η (C21); no loss calculation is performed. Verify η from manufacturer datasheet or LTspice simulation.")</f>
        <v/>
      </c>
      <c r="J9" s="10"/>
      <c r="K9" s="8"/>
    </row>
    <row r="10" customFormat="false" ht="15" hidden="false" customHeight="false" outlineLevel="0" collapsed="false">
      <c r="A10" s="6"/>
      <c r="B10" s="23" t="s">
        <v>6</v>
      </c>
      <c r="C10" s="24"/>
      <c r="D10" s="25"/>
      <c r="E10" s="11"/>
      <c r="F10" s="12"/>
      <c r="G10" s="12"/>
      <c r="H10" s="11"/>
      <c r="I10" s="8"/>
      <c r="J10" s="10"/>
      <c r="K10" s="8"/>
    </row>
    <row r="11" customFormat="false" ht="15" hidden="false" customHeight="false" outlineLevel="0" collapsed="false">
      <c r="A11" s="6"/>
      <c r="B11" s="26" t="n">
        <f aca="false">C84</f>
        <v>53.43</v>
      </c>
      <c r="C11" s="27"/>
      <c r="D11" s="12"/>
      <c r="E11" s="11"/>
      <c r="F11" s="12"/>
      <c r="G11" s="12"/>
      <c r="H11" s="11"/>
      <c r="I11" s="8"/>
      <c r="J11" s="10"/>
      <c r="K11" s="8"/>
    </row>
    <row r="12" customFormat="false" ht="15" hidden="false" customHeight="false" outlineLevel="0" collapsed="false">
      <c r="A12" s="6"/>
      <c r="B12" s="9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I_D(cont) OK vs I_pk (⚠ verify I_D(pulsed) ≥ I_pk if I_D(cont) is marginal)",IF(IFERROR(VLOOKUP(B9,'MOSFET Reference Table'!$A:$D,4,0)*1,999)&gt;=C86/2,"⚠ V_DSS OK | I_D(cont)="&amp;TEXT(IFERROR(VLOOKUP(B9,'MOSFET Reference Table'!$A:$D,4,0),"?"),"0.0")&amp;"A &lt; I_pk="&amp;TEXT(C86,"0.00")&amp;"A — I_D(cont) &lt; I_pk but pulsed rating is typically 2-4× higher. Verify I_D(pulsed) from datasheet ≥ I_pk.","✅ V_DSS OK | ⚠ I_D(cont)="&amp;TEXT(IFERROR(VLOOKUP(B9,'MOSFET Reference Table'!$A:$D,4,0),"?"),"0.0")&amp;"A &lt; I_pk="&amp;TEXT(C86,"0.00")&amp;"A — check I_D(pulsed) in datasheet")))</f>
        <v>✅ V_DSS OK | I_D(cont) OK vs I_pk (⚠ verify I_D(pulsed) ≥ I_pk if I_D(cont) is marginal)</v>
      </c>
      <c r="C12" s="27"/>
      <c r="D12" s="12"/>
      <c r="E12" s="11"/>
      <c r="F12" s="12"/>
      <c r="G12" s="12"/>
      <c r="H12" s="11"/>
      <c r="I12" s="8"/>
      <c r="J12" s="10"/>
      <c r="K12" s="8"/>
    </row>
    <row r="13" customFormat="false" ht="15" hidden="false" customHeight="false" outlineLevel="0" collapsed="false">
      <c r="A13" s="6"/>
      <c r="B13" s="21"/>
      <c r="C13" s="27"/>
      <c r="D13" s="12"/>
      <c r="E13" s="11"/>
      <c r="F13" s="12"/>
      <c r="G13" s="12"/>
      <c r="H13" s="11"/>
      <c r="I13" s="8"/>
      <c r="J13" s="10"/>
      <c r="K13" s="8"/>
    </row>
    <row r="14" customFormat="false" ht="15" hidden="false" customHeight="false" outlineLevel="0" collapsed="false">
      <c r="A14" s="6"/>
      <c r="B14" s="28" t="s">
        <v>7</v>
      </c>
      <c r="C14" s="7"/>
      <c r="D14" s="6"/>
      <c r="E14" s="8"/>
      <c r="F14" s="9"/>
      <c r="G14" s="9"/>
      <c r="H14" s="8"/>
      <c r="I14" s="8"/>
      <c r="J14" s="10"/>
      <c r="K14" s="8"/>
    </row>
    <row r="15" customFormat="false" ht="15" hidden="false" customHeight="false" outlineLevel="0" collapsed="false">
      <c r="A15" s="6"/>
      <c r="B15" s="29" t="s">
        <v>8</v>
      </c>
      <c r="C15" s="29" t="s">
        <v>9</v>
      </c>
      <c r="D15" s="30" t="s">
        <v>10</v>
      </c>
      <c r="E15" s="29"/>
      <c r="F15" s="30"/>
      <c r="G15" s="30"/>
      <c r="H15" s="29"/>
      <c r="I15" s="29"/>
      <c r="J15" s="10"/>
      <c r="K15" s="8"/>
    </row>
    <row r="16" customFormat="false" ht="15" hidden="false" customHeight="false" outlineLevel="0" collapsed="false">
      <c r="A16" s="6"/>
      <c r="B16" s="8" t="s">
        <v>11</v>
      </c>
      <c r="C16" s="31" t="n">
        <v>5</v>
      </c>
      <c r="D16" s="32" t="s">
        <v>12</v>
      </c>
      <c r="E16" s="8"/>
      <c r="F16" s="8"/>
      <c r="G16" s="9"/>
      <c r="H16" s="8"/>
      <c r="I16" s="8"/>
      <c r="J16" s="10"/>
      <c r="K16" s="8"/>
    </row>
    <row r="17" customFormat="false" ht="15" hidden="false" customHeight="false" outlineLevel="0" collapsed="false">
      <c r="A17" s="6"/>
      <c r="B17" s="8" t="s">
        <v>13</v>
      </c>
      <c r="C17" s="31" t="n">
        <v>0.4</v>
      </c>
      <c r="D17" s="32" t="s">
        <v>14</v>
      </c>
      <c r="E17" s="8"/>
      <c r="F17" s="8"/>
      <c r="G17" s="9"/>
      <c r="H17" s="8"/>
      <c r="I17" s="8"/>
      <c r="J17" s="10"/>
      <c r="K17" s="8"/>
    </row>
    <row r="18" customFormat="false" ht="15" hidden="false" customHeight="false" outlineLevel="0" collapsed="false">
      <c r="A18" s="6"/>
      <c r="B18" s="8" t="s">
        <v>15</v>
      </c>
      <c r="C18" s="31" t="n">
        <v>7</v>
      </c>
      <c r="D18" s="32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7.000 MHz</v>
      </c>
      <c r="F18" s="8"/>
      <c r="G18" s="9"/>
      <c r="H18" s="8"/>
      <c r="I18" s="8"/>
      <c r="J18" s="10"/>
      <c r="K18" s="8"/>
    </row>
    <row r="19" customFormat="false" ht="40.5" hidden="false" customHeight="false" outlineLevel="0" collapsed="false">
      <c r="A19" s="6"/>
      <c r="B19" s="8" t="s">
        <v>17</v>
      </c>
      <c r="C19" s="31" t="n">
        <v>5</v>
      </c>
      <c r="D19" s="32" t="s">
        <v>18</v>
      </c>
      <c r="E19" s="8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8"/>
      <c r="G19" s="9"/>
      <c r="H19" s="8"/>
      <c r="I19" s="8"/>
      <c r="J19" s="10"/>
      <c r="K19" s="8"/>
    </row>
    <row r="20" customFormat="false" ht="15" hidden="false" customHeight="false" outlineLevel="0" collapsed="false">
      <c r="A20" s="6"/>
      <c r="B20" s="8" t="s">
        <v>19</v>
      </c>
      <c r="C20" s="31" t="n">
        <v>0</v>
      </c>
      <c r="D20" s="32" t="s">
        <v>12</v>
      </c>
      <c r="E20" s="8"/>
      <c r="F20" s="8"/>
      <c r="G20" s="9"/>
      <c r="H20" s="8"/>
      <c r="I20" s="8"/>
      <c r="J20" s="10"/>
      <c r="K20" s="8"/>
    </row>
    <row r="21" customFormat="false" ht="79.5" hidden="false" customHeight="false" outlineLevel="0" collapsed="false">
      <c r="A21" s="6"/>
      <c r="B21" s="8" t="s">
        <v>20</v>
      </c>
      <c r="C21" s="31" t="n">
        <v>0.92</v>
      </c>
      <c r="D21" s="32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C88="&amp;TEXT(C88,"0.0%")&amp;". C88 (predicted η) is always used for I_dc — C21 is informational only.","✅ η (C88) converged. C21 is informational only."),"⚠ C88 not numeric — check MOSFET table or enter η in C21"))</f>
        <v>ℹ C21=92% differs from analytical C88=80.5%. C88 (predicted η) is always used for I_dc — C21 is informational only.</v>
      </c>
      <c r="F21" s="8"/>
      <c r="G21" s="9"/>
      <c r="H21" s="8"/>
      <c r="I21" s="8"/>
      <c r="J21" s="10"/>
      <c r="K21" s="8"/>
    </row>
    <row r="22" customFormat="false" ht="66.75" hidden="false" customHeight="false" outlineLevel="0" collapsed="false">
      <c r="A22" s="6"/>
      <c r="B22" s="8" t="s">
        <v>21</v>
      </c>
      <c r="C22" s="31" t="n">
        <v>0.05</v>
      </c>
      <c r="D22" s="32" t="s">
        <v>22</v>
      </c>
      <c r="E22" s="8"/>
      <c r="F22" s="33" t="s">
        <v>23</v>
      </c>
      <c r="G22" s="9"/>
      <c r="H22" s="8"/>
      <c r="I22" s="8"/>
      <c r="J22" s="10"/>
      <c r="K22" s="8"/>
    </row>
    <row r="23" customFormat="false" ht="40.5" hidden="false" customHeight="false" outlineLevel="0" collapsed="false">
      <c r="A23" s="6"/>
      <c r="B23" s="8" t="s">
        <v>24</v>
      </c>
      <c r="C23" s="31" t="n">
        <v>0.1</v>
      </c>
      <c r="D23" s="32" t="s">
        <v>22</v>
      </c>
      <c r="E23" s="8"/>
      <c r="F23" s="33" t="s">
        <v>25</v>
      </c>
      <c r="G23" s="33" t="str">
        <f aca="false">IF(AND(ISNUMBER(C23),ISNUMBER(C43),MAX(C16-C35,0.001)&gt;0),IF(ABS(C23*C43/(MAX(C16-C35,0.001))-0.01)&gt;0.005,"⚠ RFC actual loss="&amp;TEXT(C23*C43/(MAX(C16-C35,0.001))*100,"0.0")&amp;"% vs Sokal fixed 1% (−0.01 term). Δη="&amp;TEXT(C23*C43/(MAX(C16-C35,0.001))-0.01,"0.000")&amp;". Adjust input η (C20) accordingly.","✅ RFC loss≈"&amp;TEXT(C23*C43/(MAX(C16-C35,0.001))*100,"0.0")&amp;"% — Sokal −0.01 fixed term accurate."),"—")</f>
        <v>⚠ RFC actual loss=0.2% vs Sokal fixed 1% (−0.01 term). Δη=-0.008. Adjust input η (C20) accordingly.</v>
      </c>
      <c r="H23" s="17"/>
      <c r="I23" s="8"/>
      <c r="J23" s="10"/>
      <c r="K23" s="8"/>
    </row>
    <row r="24" customFormat="false" ht="15" hidden="false" customHeight="false" outlineLevel="0" collapsed="false">
      <c r="A24" s="6"/>
      <c r="B24" s="8" t="s">
        <v>26</v>
      </c>
      <c r="C24" s="31" t="n">
        <v>50</v>
      </c>
      <c r="D24" s="32" t="s">
        <v>22</v>
      </c>
      <c r="E24" s="8"/>
      <c r="F24" s="8"/>
      <c r="G24" s="9"/>
      <c r="H24" s="8"/>
      <c r="I24" s="8"/>
      <c r="J24" s="10"/>
      <c r="K24" s="8"/>
    </row>
    <row r="25" customFormat="false" ht="15" hidden="false" customHeight="false" outlineLevel="0" collapsed="false">
      <c r="A25" s="6"/>
      <c r="B25" s="8" t="s">
        <v>27</v>
      </c>
      <c r="C25" s="31" t="n">
        <v>50</v>
      </c>
      <c r="D25" s="32" t="s">
        <v>22</v>
      </c>
      <c r="E25" s="8"/>
      <c r="F25" s="8"/>
      <c r="G25" s="9"/>
      <c r="H25" s="8"/>
      <c r="I25" s="8"/>
      <c r="J25" s="10"/>
      <c r="K25" s="8"/>
    </row>
    <row r="26" customFormat="false" ht="40.5" hidden="false" customHeight="false" outlineLevel="0" collapsed="false">
      <c r="A26" s="6"/>
      <c r="B26" s="7" t="s">
        <v>28</v>
      </c>
      <c r="C26" s="31" t="n">
        <v>0.5</v>
      </c>
      <c r="D26" s="32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8"/>
      <c r="G26" s="9"/>
      <c r="H26" s="8"/>
      <c r="I26" s="8"/>
      <c r="J26" s="10"/>
      <c r="K26" s="8"/>
    </row>
    <row r="27" customFormat="false" ht="15" hidden="false" customHeight="false" outlineLevel="0" collapsed="false">
      <c r="A27" s="6"/>
      <c r="B27" s="8" t="s">
        <v>29</v>
      </c>
      <c r="C27" s="31" t="n">
        <f aca="false">IFERROR(IF(B9="-- Select MOSFET --",100,VLOOKUP(B9,'MOSFET Reference Table'!$A:$F,6,0)),100)</f>
        <v>60</v>
      </c>
      <c r="D27" s="32" t="s">
        <v>30</v>
      </c>
      <c r="E27" s="8"/>
      <c r="F27" s="8"/>
      <c r="G27" s="9"/>
      <c r="H27" s="8"/>
      <c r="I27" s="8"/>
      <c r="J27" s="10"/>
      <c r="K27" s="8"/>
    </row>
    <row r="28" customFormat="false" ht="15" hidden="false" customHeight="false" outlineLevel="0" collapsed="false">
      <c r="A28" s="6"/>
      <c r="B28" s="8" t="s">
        <v>31</v>
      </c>
      <c r="C28" s="31" t="n">
        <v>10</v>
      </c>
      <c r="D28" s="32" t="s">
        <v>22</v>
      </c>
      <c r="E28" s="8"/>
      <c r="F28" s="8"/>
      <c r="G28" s="9"/>
      <c r="H28" s="8"/>
      <c r="I28" s="8"/>
      <c r="J28" s="10"/>
      <c r="K28" s="8"/>
    </row>
    <row r="29" customFormat="false" ht="15" hidden="false" customHeight="false" outlineLevel="0" collapsed="false">
      <c r="A29" s="6"/>
      <c r="B29" s="8" t="s">
        <v>32</v>
      </c>
      <c r="C29" s="31" t="n">
        <v>25</v>
      </c>
      <c r="D29" s="32" t="s">
        <v>33</v>
      </c>
      <c r="E29" s="8"/>
      <c r="F29" s="8"/>
      <c r="G29" s="9"/>
      <c r="H29" s="8"/>
      <c r="I29" s="8"/>
      <c r="J29" s="10"/>
      <c r="K29" s="8"/>
    </row>
    <row r="30" customFormat="false" ht="15" hidden="false" customHeight="false" outlineLevel="0" collapsed="false">
      <c r="A30" s="6"/>
      <c r="B30" s="8" t="s">
        <v>34</v>
      </c>
      <c r="C30" s="31" t="n">
        <v>0.01</v>
      </c>
      <c r="D30" s="32" t="s">
        <v>22</v>
      </c>
      <c r="E30" s="8"/>
      <c r="F30" s="8"/>
      <c r="G30" s="9"/>
      <c r="H30" s="8"/>
      <c r="I30" s="8"/>
      <c r="J30" s="10"/>
      <c r="K30" s="8"/>
    </row>
    <row r="31" customFormat="false" ht="15" hidden="false" customHeight="false" outlineLevel="0" collapsed="false">
      <c r="A31" s="6"/>
      <c r="B31" s="8" t="s">
        <v>35</v>
      </c>
      <c r="C31" s="31" t="n">
        <v>0.01</v>
      </c>
      <c r="D31" s="32" t="s">
        <v>22</v>
      </c>
      <c r="E31" s="8"/>
      <c r="F31" s="8"/>
      <c r="G31" s="9"/>
      <c r="H31" s="8"/>
      <c r="I31" s="8"/>
      <c r="J31" s="10"/>
      <c r="K31" s="8"/>
    </row>
    <row r="32" customFormat="false" ht="15" hidden="false" customHeight="false" outlineLevel="0" collapsed="false">
      <c r="A32" s="6"/>
      <c r="B32" s="8" t="s">
        <v>36</v>
      </c>
      <c r="C32" s="31" t="n">
        <f aca="false">IFERROR(VLOOKUP(B9,'MOSFET Reference Table'!$A:$G,7,0),0)</f>
        <v>12</v>
      </c>
      <c r="D32" s="32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8"/>
      <c r="J32" s="10"/>
      <c r="K32" s="8"/>
    </row>
    <row r="33" customFormat="false" ht="53.7" hidden="false" customHeight="false" outlineLevel="0" collapsed="false">
      <c r="A33" s="6"/>
      <c r="B33" s="8" t="s">
        <v>37</v>
      </c>
      <c r="C33" s="34" t="n">
        <f aca="false">IFERROR(IF(NOT(ISNUMBER(C49)),IF(NOT(ISNUMBER(C48)),C48,"⚠ C1_ext invalid — check QL input (C19) and frequency (C18)"),IF(C49-C32*$C$36&lt;0,"🚨 OVER-CAPACITANCE: Coss_eff ("&amp;TEXT(C32*$C$36,"0.0")&amp;" pF) &gt; C1_req ("&amp;TEXT(C49,"0.0")&amp;" pF). Select a device with lower Coss, reduce f, or increase Pout/Vcc.",MAX(C49-C32*$C$36,0))),0)</f>
        <v>151.062361810011</v>
      </c>
      <c r="D33" s="32" t="s">
        <v>30</v>
      </c>
      <c r="E33" s="8"/>
      <c r="F33" s="8"/>
      <c r="G33" s="9"/>
      <c r="H33" s="8"/>
      <c r="I33" s="8"/>
      <c r="J33" s="10"/>
      <c r="K33" s="8"/>
    </row>
    <row r="34" customFormat="false" ht="15" hidden="false" customHeight="false" outlineLevel="0" collapsed="false">
      <c r="A34" s="6"/>
      <c r="B34" s="8" t="s">
        <v>38</v>
      </c>
      <c r="C34" s="31" t="n">
        <v>0</v>
      </c>
      <c r="D34" s="32" t="s">
        <v>39</v>
      </c>
      <c r="E34" s="8"/>
      <c r="F34" s="8"/>
      <c r="G34" s="9"/>
      <c r="H34" s="8"/>
      <c r="I34" s="8"/>
      <c r="J34" s="10"/>
      <c r="K34" s="8"/>
    </row>
    <row r="35" customFormat="false" ht="15" hidden="false" customHeight="false" outlineLevel="0" collapsed="false">
      <c r="A35" s="6"/>
      <c r="B35" s="8" t="s">
        <v>40</v>
      </c>
      <c r="C35" s="31" t="n">
        <v>0</v>
      </c>
      <c r="D35" s="32" t="s">
        <v>12</v>
      </c>
      <c r="E35" s="8"/>
      <c r="F35" s="8"/>
      <c r="G35" s="9"/>
      <c r="H35" s="8"/>
      <c r="I35" s="8"/>
      <c r="J35" s="10"/>
      <c r="K35" s="8"/>
    </row>
    <row r="36" customFormat="false" ht="145.1" hidden="false" customHeight="false" outlineLevel="0" collapsed="false">
      <c r="A36" s="6"/>
      <c r="B36" s="8" t="s">
        <v>41</v>
      </c>
      <c r="C36" s="31" t="n">
        <f aca="false">IFERROR(VLOOKUP(B9,'MOSFET Reference Table'!$A:$O,15,0),0.35)</f>
        <v>0.4</v>
      </c>
      <c r="D36" s="32" t="s">
        <v>18</v>
      </c>
      <c r="E36" s="8"/>
      <c r="F36" s="33" t="s">
        <v>42</v>
      </c>
      <c r="G36" s="33" t="s">
        <v>43</v>
      </c>
      <c r="H36" s="35" t="n">
        <f aca="false">IFERROR(IF(VLOOKUP(B9,'MOSFET Reference Table'!$A:$P,16,0)="Si-planar",0.4,IF(VLOOKUP(B9,'MOSFET Reference Table'!$A:$P,16,0)="Si-DMOS",0.35,IF(VLOOKUP(B9,'MOSFET Reference Table'!$A:$P,16,0)="LDMOS",0.08,IF(VLOOKUP(B9,'MOSFET Reference Table'!$A:$P,16,0)="GaN",0.05,0.25)))),0.25)</f>
        <v>0.4</v>
      </c>
      <c r="I36" s="17" t="n">
        <f aca="false">H36</f>
        <v>0.4</v>
      </c>
      <c r="J36" s="10" t="s">
        <v>44</v>
      </c>
      <c r="K36" s="8"/>
    </row>
    <row r="37" customFormat="false" ht="27.6" hidden="false" customHeight="false" outlineLevel="0" collapsed="false">
      <c r="A37" s="6"/>
      <c r="B37" s="8" t="s">
        <v>45</v>
      </c>
      <c r="C37" s="31" t="n">
        <v>3</v>
      </c>
      <c r="D37" s="32" t="s">
        <v>18</v>
      </c>
      <c r="E37" s="8"/>
      <c r="F37" s="33" t="s">
        <v>46</v>
      </c>
      <c r="G37" s="9"/>
      <c r="H37" s="8"/>
      <c r="I37" s="8"/>
      <c r="J37" s="10"/>
      <c r="K37" s="8"/>
    </row>
    <row r="38" customFormat="false" ht="15" hidden="false" customHeight="false" outlineLevel="0" collapsed="false">
      <c r="A38" s="6"/>
      <c r="B38" s="8"/>
      <c r="C38" s="31"/>
      <c r="D38" s="9"/>
      <c r="E38" s="8"/>
      <c r="F38" s="8"/>
      <c r="G38" s="9"/>
      <c r="H38" s="8"/>
      <c r="I38" s="8"/>
      <c r="J38" s="10"/>
      <c r="K38" s="8"/>
    </row>
    <row r="39" customFormat="false" ht="15.65" hidden="false" customHeight="false" outlineLevel="0" collapsed="false">
      <c r="A39" s="6"/>
      <c r="B39" s="36" t="s">
        <v>47</v>
      </c>
      <c r="C39" s="37"/>
      <c r="D39" s="6"/>
      <c r="E39" s="8"/>
      <c r="F39" s="33" t="str">
        <f aca="false">IF(NOT(ISNUMBER(C42)),"—",IF(0.576801*(1.0000086-0.414395/C19-0.577501/C19^2+0.205967/C19^3)*(C16-C35-C20)^2&lt;4*(C22+C30+1.365*IFERROR(VLOOKUP(B9,'MOSFET Reference Table'!$A:$E,5,0)*1,0)+0.2116*C31)*C17,"⚠ LOW EFFICIENCY: Device Rds(on) losses are high relative to R_opt — predicted η &lt; ~80% at this design point. This is a design quality warning, not a hard limit.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38"/>
      <c r="H39" s="8"/>
      <c r="I39" s="8"/>
      <c r="J39" s="10"/>
      <c r="K39" s="8"/>
    </row>
    <row r="40" customFormat="false" ht="15" hidden="false" customHeight="false" outlineLevel="0" collapsed="false">
      <c r="A40" s="6"/>
      <c r="B40" s="29" t="s">
        <v>8</v>
      </c>
      <c r="C40" s="29" t="s">
        <v>9</v>
      </c>
      <c r="D40" s="30" t="s">
        <v>10</v>
      </c>
      <c r="E40" s="29"/>
      <c r="F40" s="30" t="s">
        <v>48</v>
      </c>
      <c r="G40" s="30"/>
      <c r="H40" s="29"/>
      <c r="I40" s="29"/>
      <c r="J40" s="10"/>
      <c r="K40" s="8"/>
    </row>
    <row r="41" customFormat="false" ht="15" hidden="false" customHeight="false" outlineLevel="0" collapsed="false">
      <c r="A41" s="6"/>
      <c r="B41" s="8" t="s">
        <v>49</v>
      </c>
      <c r="C41" s="18" t="n">
        <f aca="false">2*PI()*C18*1000000</f>
        <v>43982297.1502571</v>
      </c>
      <c r="D41" s="32" t="s">
        <v>50</v>
      </c>
      <c r="E41" s="8"/>
      <c r="F41" s="33" t="s">
        <v>51</v>
      </c>
      <c r="G41" s="9"/>
      <c r="H41" s="8"/>
      <c r="I41" s="8"/>
      <c r="J41" s="10"/>
      <c r="K41" s="8"/>
    </row>
    <row r="42" customFormat="false" ht="66.75" hidden="false" customHeight="false" outlineLevel="0" collapsed="false">
      <c r="A42" s="6"/>
      <c r="B42" s="8" t="s">
        <v>52</v>
      </c>
      <c r="C42" s="18" t="n">
        <f aca="false">IF(C19&lt;=1.7879,"⚠ QL≤min (1.7879) — C2→∞, Class-E boundary",(C44^2/C17)*0.576801*(1.0000086-0.414395/C19-0.577501/C19^2+0.205967/C19^3))</f>
        <v>32.289222500631</v>
      </c>
      <c r="D42" s="32" t="s">
        <v>22</v>
      </c>
      <c r="E42" s="8"/>
      <c r="F42" s="33" t="s">
        <v>53</v>
      </c>
      <c r="G42" s="9"/>
      <c r="H42" s="8"/>
      <c r="I42" s="8"/>
      <c r="J42" s="10"/>
      <c r="K42" s="8"/>
    </row>
    <row r="43" customFormat="false" ht="105.75" hidden="false" customHeight="false" outlineLevel="0" collapsed="false">
      <c r="A43" s="6"/>
      <c r="B43" s="8" t="s">
        <v>54</v>
      </c>
      <c r="C43" s="18" t="n">
        <f aca="false">C17/(C44*IF(ISNUMBER(C88),C88,C21))</f>
        <v>0.0993267627719576</v>
      </c>
      <c r="D43" s="32" t="s">
        <v>55</v>
      </c>
      <c r="E43" s="8"/>
      <c r="F43" s="33" t="s">
        <v>56</v>
      </c>
      <c r="G43" s="9"/>
      <c r="H43" s="8"/>
      <c r="I43" s="8"/>
      <c r="J43" s="10"/>
      <c r="K43" s="8"/>
    </row>
    <row r="44" customFormat="false" ht="27.6" hidden="false" customHeight="false" outlineLevel="0" collapsed="false">
      <c r="A44" s="6"/>
      <c r="B44" s="8" t="s">
        <v>57</v>
      </c>
      <c r="C44" s="18" t="n">
        <f aca="false">C16-C35-C20</f>
        <v>5</v>
      </c>
      <c r="D44" s="32" t="s">
        <v>12</v>
      </c>
      <c r="E44" s="8"/>
      <c r="F44" s="33" t="s">
        <v>58</v>
      </c>
      <c r="G44" s="9"/>
      <c r="H44" s="8"/>
      <c r="I44" s="8"/>
      <c r="J44" s="10"/>
      <c r="K44" s="8"/>
    </row>
    <row r="45" customFormat="false" ht="15" hidden="false" customHeight="false" outlineLevel="0" collapsed="false">
      <c r="A45" s="6"/>
      <c r="B45" s="7"/>
      <c r="C45" s="7"/>
      <c r="D45" s="6"/>
      <c r="E45" s="8"/>
      <c r="F45" s="9"/>
      <c r="G45" s="9"/>
      <c r="H45" s="8"/>
      <c r="I45" s="8"/>
      <c r="J45" s="10"/>
      <c r="K45" s="8"/>
    </row>
    <row r="46" customFormat="false" ht="15.65" hidden="false" customHeight="false" outlineLevel="0" collapsed="false">
      <c r="A46" s="6"/>
      <c r="B46" s="37" t="s">
        <v>59</v>
      </c>
      <c r="C46" s="7"/>
      <c r="D46" s="6"/>
      <c r="E46" s="8"/>
      <c r="F46" s="9"/>
      <c r="G46" s="9"/>
      <c r="H46" s="8"/>
      <c r="I46" s="8"/>
      <c r="J46" s="10"/>
      <c r="K46" s="8"/>
    </row>
    <row r="47" customFormat="false" ht="15" hidden="false" customHeight="false" outlineLevel="0" collapsed="false">
      <c r="A47" s="6"/>
      <c r="B47" s="29" t="s">
        <v>8</v>
      </c>
      <c r="C47" s="29" t="s">
        <v>9</v>
      </c>
      <c r="D47" s="30" t="s">
        <v>10</v>
      </c>
      <c r="E47" s="29" t="s">
        <v>60</v>
      </c>
      <c r="F47" s="30" t="s">
        <v>48</v>
      </c>
      <c r="G47" s="39"/>
      <c r="H47" s="29"/>
      <c r="I47" s="29"/>
      <c r="J47" s="10"/>
      <c r="K47" s="8"/>
    </row>
    <row r="48" customFormat="false" ht="158.2" hidden="false" customHeight="false" outlineLevel="0" collapsed="false">
      <c r="A48" s="6"/>
      <c r="B48" s="8" t="s">
        <v>61</v>
      </c>
      <c r="C48" s="18" t="n">
        <f aca="false">IFERROR(IF(C19&lt;=1.7879,"⚠ QL≤min (1.7879) — C2→∞, Class-E boundary",IF(C18&lt;=0,"⚠ Frequency must be &gt; 0 MHz",IF(NOT(ISNUMBER(C42)),0,(0.99866+0.91424/C19-1.03175/C19^2)/(5.4466*C41*C42)+IFERROR(0.6/(C41^2*C54),0)))),0)</f>
        <v>1.55862361810011E-010</v>
      </c>
      <c r="D48" s="32" t="s">
        <v>62</v>
      </c>
      <c r="E48" s="8"/>
      <c r="F48" s="33" t="s">
        <v>63</v>
      </c>
      <c r="G48" s="33" t="str">
        <f aca="false">IF(ISNUMBER(C19),IF(C19&gt;=1.7879,"ℹ C1 polynomial accuracy: ±0.18% vs Sokal Table I across all valid QL (1.7879–∞). RFC correction (+0.6/(ω²·L_RFC)) adds ~"&amp;TEXT(0.6/(C41^2*C54)/C48*100,"0.1")&amp;"% to C1_total. Total C1 error &lt; ±0.5%."," "),"—")</f>
        <v>ℹ C1 polynomial accuracy: ±0.18% vs Sokal Table I across all valid QL (1.7879–∞). RFC correction (+0.6/(ω²·L_RFC)) adds ~54% to C1_total. Total C1 error &lt; ±0.5%.</v>
      </c>
      <c r="H48" s="8"/>
      <c r="I48" s="8"/>
      <c r="J48" s="10"/>
      <c r="K48" s="8"/>
    </row>
    <row r="49" customFormat="false" ht="15" hidden="false" customHeight="false" outlineLevel="0" collapsed="false">
      <c r="A49" s="6"/>
      <c r="B49" s="8" t="s">
        <v>64</v>
      </c>
      <c r="C49" s="18" t="n">
        <f aca="false">C48*1000000000000</f>
        <v>155.862361810011</v>
      </c>
      <c r="D49" s="32" t="s">
        <v>30</v>
      </c>
      <c r="E49" s="40" t="str">
        <f aca="false">IFERROR(IF(ISNUMBER(C49),TEXT(10^INT(LOG10(ABS(C49)+1E-030))*CHOOSE(MATCH(C49/10^INT(LOG10(ABS(C49)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"&amp;D49,C49),"—")</f>
        <v>160 pF</v>
      </c>
      <c r="F49" s="33" t="s">
        <v>65</v>
      </c>
      <c r="G49" s="38"/>
      <c r="H49" s="8"/>
      <c r="I49" s="8"/>
      <c r="J49" s="10"/>
      <c r="K49" s="8"/>
    </row>
    <row r="50" customFormat="false" ht="27.6" hidden="false" customHeight="false" outlineLevel="0" collapsed="false">
      <c r="A50" s="6"/>
      <c r="B50" s="8" t="s">
        <v>66</v>
      </c>
      <c r="C50" s="18" t="n">
        <f aca="false">IFERROR(IF(C19&lt;=1.7879,"⚠ QL≤min (1.7879) — C2→∞, Class-E boundary",IF(C18&lt;=0,"⚠ Frequency must be &gt; 0 MHz",C19*C42/C41)),0)</f>
        <v>3.67070669254962E-006</v>
      </c>
      <c r="D50" s="32" t="s">
        <v>67</v>
      </c>
      <c r="E50" s="40"/>
      <c r="F50" s="33" t="s">
        <v>68</v>
      </c>
      <c r="G50" s="9"/>
      <c r="H50" s="8"/>
      <c r="I50" s="8"/>
      <c r="J50" s="10"/>
      <c r="K50" s="8"/>
    </row>
    <row r="51" customFormat="false" ht="15" hidden="false" customHeight="false" outlineLevel="0" collapsed="false">
      <c r="A51" s="6"/>
      <c r="B51" s="8" t="s">
        <v>69</v>
      </c>
      <c r="C51" s="18" t="n">
        <f aca="false">C50*1000000</f>
        <v>3.67070669254962</v>
      </c>
      <c r="D51" s="32" t="s">
        <v>70</v>
      </c>
      <c r="E51" s="40" t="str">
        <f aca="false">IFERROR(IF(ISNUMBER(C51),TEXT(10^INT(LOG10(ABS(C51)+1E-030))*CHOOSE(MATCH(C51/10^INT(LOG10(ABS(C51)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"&amp;D51,C51),"—")</f>
        <v>3.6 µH</v>
      </c>
      <c r="F51" s="33" t="s">
        <v>71</v>
      </c>
      <c r="G51" s="9"/>
      <c r="H51" s="8"/>
      <c r="I51" s="8"/>
      <c r="J51" s="10"/>
      <c r="K51" s="8"/>
    </row>
    <row r="52" customFormat="false" ht="40.5" hidden="false" customHeight="false" outlineLevel="0" collapsed="false">
      <c r="A52" s="6"/>
      <c r="B52" s="8" t="s">
        <v>72</v>
      </c>
      <c r="C52" s="18" t="n">
        <f aca="false">IFERROR(IF(C19&lt;=1.7879,"⚠ QL≤min (1.7879) — C2→∞, Class-E boundary",IF(C18&lt;=0,"⚠ Frequency must be &gt; 0 MHz",IF((1/(C41*C42))*(1/(C19-0.104823))*(1.00121+1.01468/(C19-1.7879))-IFERROR(0.2/(C41^2*C54),0)&lt;0,"⚠ C2 = 0: RFC correction exceeds base C2 at this QL — omitting C2 destroys Class-E operation. Increase QL or reduce RFC inductance.",(1/(C41*C42))*(1/(C19-0.104823))*(1.00121+1.01468/(C19-1.7879))-IFERROR(0.2/(C41^2*C54),0)))),0)</f>
        <v>1.86642671516552E-010</v>
      </c>
      <c r="D52" s="32" t="s">
        <v>62</v>
      </c>
      <c r="E52" s="40" t="str">
        <f aca="false">IF(ISNUMBER(C19),IF(C19&lt;=1.7879,"⚠ QL≤min (1.7879) — C2→∞, Class-E boundary",IF(C19&lt;1.9,"⚠ QL very close to minimum (1.7879) — verify with LTspice before building","")),"")</f>
        <v/>
      </c>
      <c r="F52" s="33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8"/>
      <c r="J52" s="10"/>
      <c r="K52" s="8"/>
    </row>
    <row r="53" customFormat="false" ht="15" hidden="false" customHeight="false" outlineLevel="0" collapsed="false">
      <c r="A53" s="6"/>
      <c r="B53" s="8" t="s">
        <v>73</v>
      </c>
      <c r="C53" s="18" t="n">
        <f aca="false">IF(ISNUMBER(C52),C52*1000000000000,C52)</f>
        <v>186.642671516552</v>
      </c>
      <c r="D53" s="32" t="s">
        <v>30</v>
      </c>
      <c r="E53" s="40" t="str">
        <f aca="false">IFERROR(IF(ISNUMBER(C53),TEXT(10^INT(LOG10(ABS(C53)+1E-030))*CHOOSE(MATCH(C53/10^INT(LOG10(ABS(C53)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"&amp;D53,C53),"—")</f>
        <v>180 pF</v>
      </c>
      <c r="F53" s="33" t="s">
        <v>74</v>
      </c>
      <c r="G53" s="9"/>
      <c r="H53" s="8"/>
      <c r="I53" s="8"/>
      <c r="J53" s="10"/>
      <c r="K53" s="8"/>
    </row>
    <row r="54" customFormat="false" ht="132" hidden="false" customHeight="false" outlineLevel="0" collapsed="false">
      <c r="A54" s="6"/>
      <c r="B54" s="8" t="s">
        <v>75</v>
      </c>
      <c r="C54" s="18" t="n">
        <f aca="false">IF(AND(ISNUMBER(C42),C18&gt;0),50*C42/C41,"⚠ R invalid or f=0 — set QL ≥ 1.7879 and f &gt; 0 first")</f>
        <v>3.67070669254962E-005</v>
      </c>
      <c r="D54" s="32" t="s">
        <v>67</v>
      </c>
      <c r="E54" s="40"/>
      <c r="F54" s="33" t="s">
        <v>76</v>
      </c>
      <c r="G54" s="33" t="str">
        <f aca="false">IF(ISNUMBER(C42),IF(ABS(C55-50*C42/C41*1000000)&gt;0.01*50*C42/C41*1000000,"⚠ RFC OVERRIDE DETECTED: C55 ("&amp;TEXT(C55,"0.000")&amp;" µH) ≠ default 50·R/ω ("&amp;TEXT(50*C42/C41*1000000,"0.000")&amp;" µH). ⚠ IMPORTANT: C1 and C2 reference C54 (Henrys). To correctly override RFC: type your value ÷ 1000000 (in Henrys) into C54 only, replacing its formula. C55 auto-updates to µH. Do NOT manually override C55 — this disconnects it from C54. If you only change C55, C1 and C2 do NOT update. Re-verify ZVS after any RFC change.","✅ RFC = default 50·R/ω — C1 and C2 corrections are self-consistent. ℹ To use a custom RFC: enter µH value in C55 AND enter the same value÷1e6 directly into C54 (replacing formula)."),"—")</f>
        <v>✅ RFC = default 50·R/ω — C1 and C2 corrections are self-consistent. ℹ To use a custom RFC: enter µH value in C55 AND enter the same value÷1e6 directly into C54 (replacing formula).</v>
      </c>
      <c r="H54" s="33" t="s">
        <v>77</v>
      </c>
      <c r="I54" s="17"/>
      <c r="J54" s="10"/>
      <c r="K54" s="8"/>
    </row>
    <row r="55" customFormat="false" ht="105.75" hidden="false" customHeight="false" outlineLevel="0" collapsed="false">
      <c r="A55" s="6"/>
      <c r="B55" s="8" t="s">
        <v>78</v>
      </c>
      <c r="C55" s="18" t="n">
        <f aca="false">IFERROR(IF(ISNUMBER(C54),C54*1000000,C54),"⚠ RFC formula error in C54")</f>
        <v>36.7070669254962</v>
      </c>
      <c r="D55" s="32" t="s">
        <v>70</v>
      </c>
      <c r="E55" s="40" t="str">
        <f aca="false">IFERROR(IF(ISNUMBER(C55),TEXT(10^INT(LOG10(ABS(C55)+1E-030))*CHOOSE(MATCH(C55/10^INT(LOG10(ABS(C55)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"&amp;D55,C55),"—")</f>
        <v>36 µH</v>
      </c>
      <c r="F55" s="33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(C43). Sokal QEX 2001: choke reactance ≥ 30×R; RFC (C54)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0.099 A (C43). Sokal QEX 2001: choke reactance ≥ 30×R; RFC (C54) uses 50×R/ω for margin.</v>
      </c>
      <c r="G55" s="9"/>
      <c r="H55" s="33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8"/>
      <c r="J55" s="10"/>
      <c r="K55" s="8"/>
    </row>
    <row r="56" customFormat="false" ht="40.5" hidden="false" customHeight="false" outlineLevel="0" collapsed="false">
      <c r="A56" s="6"/>
      <c r="B56" s="8" t="s">
        <v>79</v>
      </c>
      <c r="C56" s="18" t="n">
        <f aca="false">IF(C19&lt;=1.7879,"⚠ QL≤min (1.7879) — C2→∞, Class-E boundary",IF(NOT(ISNUMBER(C52)),"⚠ C2 invalid",C50-1/(C52*C41^2)))</f>
        <v>9.01003439261812E-007</v>
      </c>
      <c r="D56" s="32" t="s">
        <v>67</v>
      </c>
      <c r="E56" s="40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 — L2-C2 branch correctly inductive at ω")),"")</f>
        <v>✅ L_ser&gt;0 OK — L2-C2 branch correctly inductive at ω</v>
      </c>
      <c r="F56" s="33" t="s">
        <v>80</v>
      </c>
      <c r="G56" s="9"/>
      <c r="H56" s="8"/>
      <c r="I56" s="8"/>
      <c r="J56" s="10"/>
      <c r="K56" s="8"/>
    </row>
    <row r="57" customFormat="false" ht="40.5" hidden="false" customHeight="false" outlineLevel="0" collapsed="false">
      <c r="A57" s="6"/>
      <c r="B57" s="8" t="s">
        <v>81</v>
      </c>
      <c r="C57" s="18" t="n">
        <f aca="false">IF(ISNUMBER(C56),C56*1000000,C56)</f>
        <v>0.901003439261812</v>
      </c>
      <c r="D57" s="32" t="s">
        <v>70</v>
      </c>
      <c r="E57" s="40"/>
      <c r="F57" s="33" t="s">
        <v>82</v>
      </c>
      <c r="G57" s="9"/>
      <c r="H57" s="8"/>
      <c r="I57" s="8"/>
      <c r="J57" s="10"/>
      <c r="K57" s="8"/>
    </row>
    <row r="58" customFormat="false" ht="53.7" hidden="false" customHeight="false" outlineLevel="0" collapsed="false">
      <c r="A58" s="6"/>
      <c r="B58" s="8" t="s">
        <v>83</v>
      </c>
      <c r="C58" s="18" t="n">
        <f aca="false">IF(C19&lt;=1.7879,"⚠ QL≤min (1.7879) — C2→∞, Class-E boundary",IF(NOT(ISNUMBER(C52)),"⚠ C2 invalid — check QL/frequency",C50))</f>
        <v>3.67070669254962E-006</v>
      </c>
      <c r="D58" s="32" t="s">
        <v>67</v>
      </c>
      <c r="E58" s="40"/>
      <c r="F58" s="33" t="s">
        <v>84</v>
      </c>
      <c r="G58" s="9"/>
      <c r="H58" s="8"/>
      <c r="I58" s="8"/>
      <c r="J58" s="10"/>
      <c r="K58" s="8"/>
    </row>
    <row r="59" customFormat="false" ht="27.6" hidden="false" customHeight="false" outlineLevel="0" collapsed="false">
      <c r="A59" s="6"/>
      <c r="B59" s="8" t="s">
        <v>85</v>
      </c>
      <c r="C59" s="18" t="n">
        <f aca="false">IF(ISNUMBER(C58),C58*1000000,C58)</f>
        <v>3.67070669254962</v>
      </c>
      <c r="D59" s="32" t="s">
        <v>70</v>
      </c>
      <c r="E59" s="40" t="str">
        <f aca="false">IFERROR(IF(ISNUMBER(C59),TEXT(10^INT(LOG10(ABS(C59)+1E-030))*CHOOSE(MATCH(C59/10^INT(LOG10(ABS(C59)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"&amp;D59,C59),"—")</f>
        <v>3.6 µH</v>
      </c>
      <c r="F59" s="33" t="s">
        <v>86</v>
      </c>
      <c r="G59" s="9"/>
      <c r="H59" s="8"/>
      <c r="I59" s="8"/>
      <c r="J59" s="10"/>
      <c r="K59" s="8"/>
    </row>
    <row r="60" customFormat="false" ht="15" hidden="false" customHeight="false" outlineLevel="0" collapsed="false">
      <c r="A60" s="6"/>
      <c r="B60" s="7"/>
      <c r="C60" s="7"/>
      <c r="D60" s="6"/>
      <c r="E60" s="8"/>
      <c r="F60" s="9"/>
      <c r="G60" s="9"/>
      <c r="H60" s="8"/>
      <c r="I60" s="8"/>
      <c r="J60" s="10"/>
      <c r="K60" s="8"/>
    </row>
    <row r="61" customFormat="false" ht="15.65" hidden="false" customHeight="false" outlineLevel="0" collapsed="false">
      <c r="A61" s="6"/>
      <c r="B61" s="36" t="s">
        <v>87</v>
      </c>
      <c r="C61" s="7"/>
      <c r="D61" s="6"/>
      <c r="E61" s="8"/>
      <c r="F61" s="9"/>
      <c r="G61" s="9"/>
      <c r="H61" s="8"/>
      <c r="I61" s="8"/>
      <c r="J61" s="10"/>
      <c r="K61" s="8"/>
    </row>
    <row r="62" customFormat="false" ht="15" hidden="false" customHeight="false" outlineLevel="0" collapsed="false">
      <c r="A62" s="6"/>
      <c r="B62" s="29" t="s">
        <v>8</v>
      </c>
      <c r="C62" s="29" t="s">
        <v>9</v>
      </c>
      <c r="D62" s="30" t="s">
        <v>10</v>
      </c>
      <c r="E62" s="29" t="s">
        <v>60</v>
      </c>
      <c r="F62" s="30" t="s">
        <v>48</v>
      </c>
      <c r="G62" s="30"/>
      <c r="H62" s="29"/>
      <c r="I62" s="29"/>
      <c r="J62" s="10"/>
      <c r="K62" s="8"/>
    </row>
    <row r="63" customFormat="false" ht="15" hidden="false" customHeight="false" outlineLevel="0" collapsed="false">
      <c r="A63" s="6"/>
      <c r="B63" s="8" t="s">
        <v>88</v>
      </c>
      <c r="C63" s="18" t="n">
        <f aca="false">C42</f>
        <v>32.289222500631</v>
      </c>
      <c r="D63" s="32" t="s">
        <v>22</v>
      </c>
      <c r="E63" s="8"/>
      <c r="F63" s="33" t="s">
        <v>89</v>
      </c>
      <c r="G63" s="9"/>
      <c r="H63" s="8"/>
      <c r="I63" s="8"/>
      <c r="J63" s="10"/>
      <c r="K63" s="8"/>
    </row>
    <row r="64" customFormat="false" ht="15" hidden="false" customHeight="false" outlineLevel="0" collapsed="false">
      <c r="A64" s="6"/>
      <c r="B64" s="8" t="s">
        <v>90</v>
      </c>
      <c r="C64" s="18" t="n">
        <f aca="false">C25</f>
        <v>50</v>
      </c>
      <c r="D64" s="32" t="s">
        <v>22</v>
      </c>
      <c r="E64" s="8"/>
      <c r="F64" s="33" t="s">
        <v>91</v>
      </c>
      <c r="G64" s="9"/>
      <c r="H64" s="8"/>
      <c r="I64" s="8"/>
      <c r="J64" s="10"/>
      <c r="K64" s="8"/>
    </row>
    <row r="65" customFormat="false" ht="40.5" hidden="false" customHeight="false" outlineLevel="0" collapsed="false">
      <c r="A65" s="6"/>
      <c r="B65" s="8" t="s">
        <v>92</v>
      </c>
      <c r="C65" s="18" t="n">
        <f aca="false">IF(ABS(C63-C64)&lt;0.01*MAX(C63,C64),0,SQRT(MAX(C63,C64)/MIN(C63,C64)-1))</f>
        <v>0.740610763852502</v>
      </c>
      <c r="D65" s="32" t="s">
        <v>18</v>
      </c>
      <c r="E65" s="8"/>
      <c r="F65" s="33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8"/>
      <c r="J65" s="10"/>
      <c r="K65" s="8"/>
    </row>
    <row r="66" customFormat="false" ht="66.75" hidden="false" customHeight="false" outlineLevel="0" collapsed="false">
      <c r="A66" s="6"/>
      <c r="B66" s="8" t="s">
        <v>93</v>
      </c>
      <c r="C66" s="18" t="n">
        <f aca="false">IF(C41&lt;=0,0,C65*MIN(C63,C64)/C41)</f>
        <v>5.43712977489534E-007</v>
      </c>
      <c r="D66" s="32" t="s">
        <v>67</v>
      </c>
      <c r="E66" s="8"/>
      <c r="F66" s="33" t="str">
        <f aca="false">IF(C70="Step-UP","Step-UP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end).","Step-DOWN (R_drain &gt; Z_load): Shunt C_match from DRAIN node (high-Z) to GND first; then series L_match from drain toward load. L_match=Q×R_min/ω; C_match=Q/(ω×R_max). ⚠ C_match at DRAIN end (high-Z side).")</f>
        <v>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</v>
      </c>
      <c r="G66" s="9"/>
      <c r="H66" s="8"/>
      <c r="I66" s="8"/>
      <c r="J66" s="10"/>
      <c r="K66" s="8"/>
    </row>
    <row r="67" customFormat="false" ht="15" hidden="false" customHeight="false" outlineLevel="0" collapsed="false">
      <c r="A67" s="6"/>
      <c r="B67" s="8" t="s">
        <v>94</v>
      </c>
      <c r="C67" s="18" t="n">
        <f aca="false">C66*1000000</f>
        <v>0.543712977489534</v>
      </c>
      <c r="D67" s="32" t="s">
        <v>70</v>
      </c>
      <c r="E67" s="8" t="str">
        <f aca="false">IFERROR(IF(ISNUMBER(C67),TEXT(10^INT(LOG10(ABS(C67)+1E-030))*CHOOSE(MATCH(C67/10^INT(LOG10(ABS(C67)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"&amp;D67,C67),"—")</f>
        <v>0.56 µH</v>
      </c>
      <c r="F67" s="8"/>
      <c r="G67" s="9"/>
      <c r="H67" s="8"/>
      <c r="I67" s="8"/>
      <c r="J67" s="10"/>
      <c r="K67" s="8"/>
    </row>
    <row r="68" customFormat="false" ht="53.7" hidden="false" customHeight="false" outlineLevel="0" collapsed="false">
      <c r="A68" s="6"/>
      <c r="B68" s="8" t="s">
        <v>95</v>
      </c>
      <c r="C68" s="18" t="n">
        <f aca="false">IF(C41&lt;=0,0,C65/(C41*MAX(C63,C64)))</f>
        <v>3.36776754211972E-010</v>
      </c>
      <c r="D68" s="32" t="s">
        <v>62</v>
      </c>
      <c r="E68" s="8"/>
      <c r="F68" s="33" t="str">
        <f aca="false">IF(C70="Step-UP","Step-UP: C_match is the SHUNT element at the LOAD (Z_load, 50Ω, HIGH-Z) node — placed AFTER L_match (at the load/antenna end). LOW-PASS topology: Series L from drain → Shunt C at load end. C_match=Q/(ω×Z_load). ⚠ C_match is at the LOAD end, not the drain end.","Step-DOWN: C_match is the SHUNT element at the DRAIN (high-Z) node — placed BEFORE L_match. C_match=Q/(ω×R_drain).")</f>
        <v>Step-UP: C_match is the SHUNT element at the LOAD (Z_load, 50Ω, HIGH-Z) node — placed AFTER L_match (at the load/antenna end). LOW-PASS topology: Series L from drain → Shunt C at load end. C_match=Q/(ω×Z_load). ⚠ C_match is at the LOAD end, not the drain end.</v>
      </c>
      <c r="G68" s="9"/>
      <c r="H68" s="8"/>
      <c r="I68" s="8"/>
      <c r="J68" s="10"/>
      <c r="K68" s="8"/>
    </row>
    <row r="69" customFormat="false" ht="15" hidden="false" customHeight="false" outlineLevel="0" collapsed="false">
      <c r="A69" s="6"/>
      <c r="B69" s="8" t="s">
        <v>96</v>
      </c>
      <c r="C69" s="18" t="n">
        <f aca="false">C68*1000000000000</f>
        <v>336.776754211972</v>
      </c>
      <c r="D69" s="32" t="s">
        <v>30</v>
      </c>
      <c r="E69" s="8" t="str">
        <f aca="false">IFERROR(IF(ISNUMBER(C69),TEXT(10^INT(LOG10(ABS(C69)+1E-030))*CHOOSE(MATCH(C69/10^INT(LOG10(ABS(C69)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"&amp;D69,C69),"—")</f>
        <v>330 pF</v>
      </c>
      <c r="F69" s="8"/>
      <c r="G69" s="9"/>
      <c r="H69" s="8"/>
      <c r="I69" s="8"/>
      <c r="J69" s="10"/>
      <c r="K69" s="8"/>
    </row>
    <row r="70" customFormat="false" ht="105.75" hidden="false" customHeight="false" outlineLevel="0" collapsed="false">
      <c r="A70" s="6"/>
      <c r="B70" s="8" t="s">
        <v>97</v>
      </c>
      <c r="C70" s="41" t="str">
        <f aca="false">IF(C63&lt;C64,"Step-UP","Step-DOWN")</f>
        <v>Step-UP</v>
      </c>
      <c r="D70" s="32"/>
      <c r="E70" s="8"/>
      <c r="F70" s="33" t="s">
        <v>98</v>
      </c>
      <c r="G70" s="9"/>
      <c r="H70" s="8"/>
      <c r="I70" s="8"/>
      <c r="J70" s="10"/>
      <c r="K70" s="8"/>
    </row>
    <row r="71" customFormat="false" ht="15" hidden="false" customHeight="false" outlineLevel="0" collapsed="false">
      <c r="A71" s="6"/>
      <c r="B71" s="7"/>
      <c r="C71" s="7"/>
      <c r="D71" s="6"/>
      <c r="E71" s="8"/>
      <c r="F71" s="9"/>
      <c r="G71" s="9"/>
      <c r="H71" s="8"/>
      <c r="I71" s="8"/>
      <c r="J71" s="10"/>
      <c r="K71" s="8"/>
    </row>
    <row r="72" customFormat="false" ht="15.65" hidden="false" customHeight="false" outlineLevel="0" collapsed="false">
      <c r="A72" s="6"/>
      <c r="B72" s="36" t="s">
        <v>99</v>
      </c>
      <c r="C72" s="7"/>
      <c r="D72" s="6"/>
      <c r="E72" s="8"/>
      <c r="F72" s="9"/>
      <c r="G72" s="9"/>
      <c r="H72" s="8"/>
      <c r="I72" s="8"/>
      <c r="J72" s="10"/>
      <c r="K72" s="8"/>
    </row>
    <row r="73" customFormat="false" ht="15" hidden="false" customHeight="false" outlineLevel="0" collapsed="false">
      <c r="A73" s="6"/>
      <c r="B73" s="29" t="s">
        <v>8</v>
      </c>
      <c r="C73" s="29" t="s">
        <v>9</v>
      </c>
      <c r="D73" s="30" t="s">
        <v>10</v>
      </c>
      <c r="E73" s="29" t="s">
        <v>60</v>
      </c>
      <c r="F73" s="30" t="s">
        <v>48</v>
      </c>
      <c r="G73" s="30"/>
      <c r="H73" s="29"/>
      <c r="I73" s="29"/>
      <c r="J73" s="10"/>
      <c r="K73" s="8"/>
    </row>
    <row r="74" customFormat="false" ht="27.6" hidden="false" customHeight="false" outlineLevel="0" collapsed="false">
      <c r="A74" s="6"/>
      <c r="B74" s="8" t="s">
        <v>100</v>
      </c>
      <c r="C74" s="18" t="n">
        <f aca="false">IFERROR(IF(C18&lt;=0,"⚠ Frequency must be &gt; 0 MHz",1/(C41*C27*0.000000000001)),0)</f>
        <v>378.940340694989</v>
      </c>
      <c r="D74" s="32" t="s">
        <v>22</v>
      </c>
      <c r="E74" s="8"/>
      <c r="F74" s="33" t="s">
        <v>101</v>
      </c>
      <c r="G74" s="9"/>
      <c r="H74" s="33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Xciss=378.9Ω | Rgate=10Ω | ratio=37.9× — series-resonance model (accurate)</v>
      </c>
      <c r="I74" s="8"/>
      <c r="J74" s="10"/>
      <c r="K74" s="8"/>
    </row>
    <row r="75" customFormat="false" ht="27.6" hidden="false" customHeight="false" outlineLevel="0" collapsed="false">
      <c r="A75" s="6"/>
      <c r="B75" s="8" t="s">
        <v>102</v>
      </c>
      <c r="C75" s="18" t="n">
        <f aca="false">SQRT(C74^2+C28^2)</f>
        <v>379.072264622505</v>
      </c>
      <c r="D75" s="32" t="s">
        <v>22</v>
      </c>
      <c r="E75" s="8"/>
      <c r="F75" s="33" t="s">
        <v>103</v>
      </c>
      <c r="G75" s="9"/>
      <c r="H75" s="8"/>
      <c r="I75" s="8"/>
      <c r="J75" s="10"/>
      <c r="K75" s="8"/>
    </row>
    <row r="76" customFormat="false" ht="15" hidden="false" customHeight="false" outlineLevel="0" collapsed="false">
      <c r="A76" s="6"/>
      <c r="B76" s="8" t="s">
        <v>104</v>
      </c>
      <c r="C76" s="18" t="n">
        <f aca="false">C24</f>
        <v>50</v>
      </c>
      <c r="D76" s="32" t="s">
        <v>22</v>
      </c>
      <c r="E76" s="8"/>
      <c r="F76" s="33" t="s">
        <v>105</v>
      </c>
      <c r="G76" s="9"/>
      <c r="H76" s="8"/>
      <c r="I76" s="8"/>
      <c r="J76" s="10"/>
      <c r="K76" s="8"/>
    </row>
    <row r="77" customFormat="false" ht="66.75" hidden="false" customHeight="false" outlineLevel="0" collapsed="false">
      <c r="A77" s="6"/>
      <c r="B77" s="8" t="s">
        <v>106</v>
      </c>
      <c r="C77" s="18" t="n">
        <f aca="false">IF(C28=0,0,SQRT(MAX(MAX(C76,C28)/MIN(C76,C28)-1,0)))</f>
        <v>2</v>
      </c>
      <c r="D77" s="32" t="s">
        <v>18</v>
      </c>
      <c r="E77" s="8"/>
      <c r="F77" s="33" t="s">
        <v>107</v>
      </c>
      <c r="G77" s="9"/>
      <c r="H77" s="8"/>
      <c r="I77" s="8"/>
      <c r="J77" s="10"/>
      <c r="K77" s="8"/>
    </row>
    <row r="78" customFormat="false" ht="105.75" hidden="false" customHeight="false" outlineLevel="0" collapsed="false">
      <c r="A78" s="6"/>
      <c r="B78" s="8" t="s">
        <v>108</v>
      </c>
      <c r="C78" s="18" t="n">
        <f aca="false">IF(C74&lt;3*C28,"⚠ Xciss&lt;3×Rgate: series-resonance model invalid — use complex L-network synthesis (ADS/LTspice).",(C74+C77*MIN(C76,C28))/C41*1000000)</f>
        <v>9.07047531719604</v>
      </c>
      <c r="D78" s="32" t="s">
        <v>70</v>
      </c>
      <c r="E78" s="8" t="str">
        <f aca="false">IF(C74/C28&lt;3,"— (model invalid)",IFERROR(IF(ISNUMBER(C78),TEXT(10^INT(LOG10(ABS(C78)+1E-030))*CHOOSE(MATCH(C78/10^INT(LOG10(ABS(C78)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"&amp;D78,C78),"—"))</f>
        <v>9.1 µH</v>
      </c>
      <c r="F78" s="33" t="s">
        <v>109</v>
      </c>
      <c r="G78" s="9"/>
      <c r="H78" s="33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Xciss/Rgate=38× ≥ 10 — Series resonance dominates. L_in=1/(ω²·Ciss)+Q·R_min/ω=9.070µH (transformation term=0.455µH, 50% of total). Verify with LTspice.</v>
      </c>
      <c r="I78" s="8"/>
      <c r="J78" s="10"/>
      <c r="K78" s="8"/>
    </row>
    <row r="79" customFormat="false" ht="79.5" hidden="false" customHeight="false" outlineLevel="0" collapsed="false">
      <c r="A79" s="6"/>
      <c r="B79" s="8" t="s">
        <v>110</v>
      </c>
      <c r="C79" s="18" t="str">
        <f aca="false">IF(C74/C28&gt;=10,"⚠ C_in negligible — omit (Xciss/Rgate≥10; series resonance dominates)",IF(C74/C28&lt;3,"⚠ Model invalid — Xciss&lt;3×Rgate; use full complex-load synthesis (ADS/LTspice)",IF(C76&gt;=C28,C77/(C41*C76)*1000000000000,C77/(C41*C28)*1000000000000)))</f>
        <v>⚠ C_in negligible — omit (Xciss/Rgate≥10; series resonance dominates)</v>
      </c>
      <c r="D79" s="32" t="s">
        <v>30</v>
      </c>
      <c r="E79" s="8" t="str">
        <f aca="false">IF(C74/C28&gt;=10,"— (C_in negligible; omit)",IF(C74/C28&lt;3,"— (model invalid)",IFERROR(IF(ISNUMBER(C79),TEXT(10^INT(LOG10(ABS(C79)+1E-030))*CHOOSE(MATCH(C79/10^INT(LOG10(ABS(C79)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"&amp;D79,C79),"—")))</f>
        <v>— (C_in negligible; omit)</v>
      </c>
      <c r="F79" s="33" t="s">
        <v>111</v>
      </c>
      <c r="G79" s="9"/>
      <c r="H79" s="8"/>
      <c r="I79" s="8"/>
      <c r="J79" s="10"/>
      <c r="K79" s="8"/>
    </row>
    <row r="80" customFormat="false" ht="15" hidden="false" customHeight="false" outlineLevel="0" collapsed="false">
      <c r="A80" s="6"/>
      <c r="B80" s="7"/>
      <c r="C80" s="7"/>
      <c r="D80" s="6"/>
      <c r="E80" s="8"/>
      <c r="F80" s="9"/>
      <c r="G80" s="9"/>
      <c r="H80" s="8"/>
      <c r="I80" s="8"/>
      <c r="J80" s="10"/>
      <c r="K80" s="8"/>
    </row>
    <row r="81" customFormat="false" ht="15.65" hidden="false" customHeight="false" outlineLevel="0" collapsed="false">
      <c r="A81" s="6"/>
      <c r="B81" s="36" t="s">
        <v>112</v>
      </c>
      <c r="C81" s="7"/>
      <c r="D81" s="6"/>
      <c r="E81" s="8"/>
      <c r="F81" s="9"/>
      <c r="G81" s="9"/>
      <c r="H81" s="8"/>
      <c r="I81" s="8"/>
      <c r="J81" s="10"/>
      <c r="K81" s="8"/>
    </row>
    <row r="82" customFormat="false" ht="15" hidden="false" customHeight="false" outlineLevel="0" collapsed="false">
      <c r="A82" s="6"/>
      <c r="B82" s="29" t="s">
        <v>8</v>
      </c>
      <c r="C82" s="29" t="s">
        <v>9</v>
      </c>
      <c r="D82" s="30" t="s">
        <v>10</v>
      </c>
      <c r="E82" s="29"/>
      <c r="F82" s="30" t="s">
        <v>48</v>
      </c>
      <c r="G82" s="30"/>
      <c r="H82" s="29"/>
      <c r="I82" s="29"/>
      <c r="J82" s="10"/>
      <c r="K82" s="8"/>
    </row>
    <row r="83" customFormat="false" ht="92.9" hidden="false" customHeight="false" outlineLevel="0" collapsed="false">
      <c r="A83" s="6"/>
      <c r="B83" s="8" t="s">
        <v>113</v>
      </c>
      <c r="C83" s="18" t="n">
        <f aca="false">3.562*(C16-C35-C20)+C20</f>
        <v>17.81</v>
      </c>
      <c r="D83" s="32" t="s">
        <v>12</v>
      </c>
      <c r="E83" s="8"/>
      <c r="F83" s="33" t="s">
        <v>114</v>
      </c>
      <c r="G83" s="9"/>
      <c r="H83" s="8" t="str">
        <f aca="false">IF(C35&gt;0, "⚠ DROOP WARNING: ΔV="&amp;TEXT(C35,"0.00")&amp;"V reduces V_pk to "&amp;TEXT(C83,"0.0")&amp;"V vs no-droop "&amp;TEXT(3.562*(C16-C20)+C20,"0.0")&amp;"V. RFC choke partially decouples drain from supply droop under RF — verify V_pk with LTspice when ΔV&gt;0.5V. For V_DSS safety, use no-droop V_pk="&amp;TEXT(3.562*(C16-C20)+C20,"0.0")&amp;"V in C84.", "")</f>
        <v/>
      </c>
      <c r="I83" s="8"/>
      <c r="J83" s="10"/>
      <c r="K83" s="8"/>
    </row>
    <row r="84" customFormat="false" ht="66.75" hidden="false" customHeight="false" outlineLevel="0" collapsed="false">
      <c r="A84" s="6"/>
      <c r="B84" s="8" t="s">
        <v>115</v>
      </c>
      <c r="C84" s="18" t="n">
        <f aca="false">C37*MAX(C83,3.562*(C16-C20)+C20)</f>
        <v>53.43</v>
      </c>
      <c r="D84" s="32" t="s">
        <v>12</v>
      </c>
      <c r="E84" s="8"/>
      <c r="F84" s="33" t="str">
        <f aca="false">"V_DSS ≥ "&amp;TEXT(C84,"0")&amp;"V ("&amp;TEXT(C37,"0.0")&amp;"× safety margin. V_pk_nominal="&amp;TEXT(C83,"0.0")&amp;"V; V_pk_no_droop="&amp;TEXT(3.562*(C16-C20)+C20,"0.0")&amp;"V × "&amp;TEXT(C37,"0.0")&amp;"). ⚠ C84 uses MAX(V_pk, V_pk_no_droop) so supply droop (ΔV) never reduces V_DSS requirement — drain voltage under RF is not affected by supply droop via RFC. Mistuned V_pk can reach 5×Vcc; increase safety factor for worst-case designs."</f>
        <v>V_DSS ≥ 53V (3.0× safety margin. V_pk_nominal=17.8V; V_pk_no_droop=17.8V × 3.0). ⚠ C84 uses MAX(V_pk, V_pk_no_droop) so supply droop (ΔV) never reduces V_DSS requirement — drain voltage under RF is not affected by supply droop via RFC. Mistuned V_pk can reach 5×Vcc; increase safety factor for worst-case designs.</v>
      </c>
      <c r="G84" s="9"/>
      <c r="H84" s="33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33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  <c r="K84" s="8"/>
    </row>
    <row r="85" customFormat="false" ht="40.5" hidden="false" customHeight="false" outlineLevel="0" collapsed="false">
      <c r="A85" s="6"/>
      <c r="B85" s="8" t="s">
        <v>116</v>
      </c>
      <c r="C85" s="18" t="n">
        <f aca="false">IF(AND(ISNUMBER(C42),ISNUMBER(C54)),3.562*(C16-C35-C20)*(1+0.6*C42/(C41*C54))+C20,"⚠ R invalid — set QL ≥ 1.7879")</f>
        <v>18.02372</v>
      </c>
      <c r="D85" s="32" t="s">
        <v>12</v>
      </c>
      <c r="E85" s="8"/>
      <c r="F85" s="33" t="s">
        <v>117</v>
      </c>
      <c r="G85" s="9" t="str">
        <f aca="false">IF(C20&gt;0,"⚠ C85 informational only — use C84 for device selection.","")</f>
        <v/>
      </c>
      <c r="H85" s="8"/>
      <c r="I85" s="8"/>
      <c r="J85" s="10"/>
      <c r="K85" s="8"/>
    </row>
    <row r="86" customFormat="false" ht="15" hidden="false" customHeight="false" outlineLevel="0" collapsed="false">
      <c r="A86" s="6"/>
      <c r="B86" s="8" t="s">
        <v>118</v>
      </c>
      <c r="C86" s="18" t="n">
        <f aca="false">2.862*C43</f>
        <v>0.284273195053343</v>
      </c>
      <c r="D86" s="32" t="s">
        <v>55</v>
      </c>
      <c r="E86" s="8"/>
      <c r="F86" s="33" t="s">
        <v>119</v>
      </c>
      <c r="G86" s="9"/>
      <c r="H86" s="8"/>
      <c r="I86" s="8"/>
      <c r="J86" s="10"/>
      <c r="K86" s="8"/>
    </row>
    <row r="87" customFormat="false" ht="27.6" hidden="false" customHeight="false" outlineLevel="0" collapsed="false">
      <c r="A87" s="6"/>
      <c r="B87" s="8" t="s">
        <v>120</v>
      </c>
      <c r="C87" s="18" t="n">
        <f aca="false">C43</f>
        <v>0.0993267627719576</v>
      </c>
      <c r="D87" s="32" t="s">
        <v>55</v>
      </c>
      <c r="E87" s="8"/>
      <c r="F87" s="33" t="s">
        <v>121</v>
      </c>
      <c r="G87" s="9"/>
      <c r="H87" s="8"/>
      <c r="I87" s="8"/>
      <c r="J87" s="10"/>
      <c r="K87" s="8"/>
    </row>
    <row r="88" customFormat="false" ht="105.75" hidden="false" customHeight="false" outlineLevel="0" collapsed="false">
      <c r="A88" s="6"/>
      <c r="B88" s="8" t="s">
        <v>122</v>
      </c>
      <c r="C88" s="18" t="n">
        <f aca="false">IF(NOT(ISNUMBER(C42)),"⚠ R (C42) invalid — fix QL in C19 first",IFERROR(IF(NOT(ISNUMBER(VLOOKUP(B9,'MOSFET Reference Table'!$A:$E,5,0)*1)),"⚠ LDMOS/no Rds — using input η="&amp;TEXT(C21,"0%"),IF(J90&gt;=C42,"🚨 η&lt;0: Rds losses exceed R — device unsuitable at this operating point",IF(NOT(ISNUMBER(J96)),J92,IF(J96&lt;0,"🚨 η&lt;0: Total losses (resistive+switching+RFC+Coss) exceed input power — device unsuitable",MAX(MIN(J96,0.99),0.01))))),C21))</f>
        <v>0.805422403463108</v>
      </c>
      <c r="D88" s="32" t="s">
        <v>18</v>
      </c>
      <c r="E88" s="8" t="str">
        <f aca="false">IF(ISNUMBER(C88),IF(ABS(C88-C21)&gt;0.005,"ℹ Analytical η="&amp;TEXT(C88,"0.0%")&amp;" (room-temp Rds only). C20 informational. ⚠ THERMAL: if C92&lt;999, see I88 for derated η — C88 does NOT auto-update with thermal derating.","✅ η analytical — self-consistent. If C92&lt;999 entered, check I88 for thermally-derated η (not fed into C88)."),"—")</f>
        <v>ℹ Analytical η=80.5% (room-temp Rds only). C20 informational. ⚠ THERMAL: if C92&lt;999, see I88 for derated η — C88 does NOT auto-update with thermal derating.</v>
      </c>
      <c r="F88" s="33" t="str">
        <f aca="false">IF(IFERROR(VLOOKUP(B9,'MOSFET Reference Table'!$A:$I,9,0)*1,0)=0,IF(C18&lt;1,"ℹ fT not rated (VLF/LF design) — fT=0 warning suppressed for f&lt;1 MHz. Analytical η: eta_res=R/(R+losses). RFC loss = ESR_RFC×I_dc²/P_in where P_in=(Vcc−ΔV)×I_dc (replaces Sokal −0.01 fixed term; denominator is P_in NOT P_out). p_coss=½·Coss_eff·V_pk²·f·k_coss — k_coss (I36 — auto from MOSFET type; to override: replace I36 formula with your value,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designs."))</f>
        <v>ℹ Analytical η: eta_res=R/(R+losses). RFC actual loss = ESR_RFC×I_dc²/P_in where P_in=(Vcc−ΔV)×I_dc [Note: Vo NOT subtracted in P_in denominator — Vo is a drop inside the device, not before the supply current node] (replaces Sokal 1% term; denominator is P_in NOT P_out). Coss term uses empirical ZVS energy factor (I36). The ZVS factor is theoretically 0 for ideal ZVS and up to 0.5 for poor ZVS — verify with LTspice for high-Coss devices or VLF designs.</v>
      </c>
      <c r="G88" s="9"/>
      <c r="H88" s="33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33" t="str">
        <f aca="false">IF(C92&gt;=999,"ℹ Enter θ_JA in C90 to compute derated η",IF(NOT(ISNUMBER(C88)),"—",IF(J100&gt;200,"⚠ T_j estimate exceeds 200°C — thermal design required","ℹ T_j≈"&amp;TEXT(J100,"0")&amp;"°C | Rds derated "&amp;TEXT(((J100+273)/298)^J101,"0.00")&amp;"× | Derated η≈"&amp;TEXT(J104,"0.0%")&amp;" vs room-temp η="&amp;TEXT(C88,"0.0%")&amp;" (Δη="&amp;TEXT(C88-J104,"0.0%")&amp;" lower)")))</f>
        <v>ℹ Enter θ_JA in C90 to compute derated η</v>
      </c>
      <c r="J88" s="10" t="n">
        <f aca="false">IFERROR(VLOOKUP(B9,'MOSFET Reference Table'!$A:$E,5,0)*1,"#NA")</f>
        <v>5</v>
      </c>
      <c r="K88" s="8"/>
    </row>
    <row r="89" customFormat="false" ht="92.9" hidden="false" customHeight="false" outlineLevel="0" collapsed="false">
      <c r="A89" s="6"/>
      <c r="B89" s="8" t="s">
        <v>123</v>
      </c>
      <c r="C89" s="18" t="n">
        <f aca="false">(C16-C35)*C43-C17</f>
        <v>0.096633813859788</v>
      </c>
      <c r="D89" s="32" t="s">
        <v>14</v>
      </c>
      <c r="E89" s="8" t="str">
        <f aca="false">IF(C20&gt;0,"⚠ BJT P_diss WARNING: sheet overestimates P_diss by +"&amp;TEXT((C16/(C16-C20)-1)*100,"0.0")&amp;"% (= Vo/(Vcc−Vo)×100 = "&amp; TEXT(C20,"0.0")&amp;"V/("&amp;TEXT(C16,"0.0")&amp;"−"&amp;TEXT(C20,"0.0")&amp;")V×100). True P_diss = "&amp;TEXT(C17*(1/IF(ISNUMBER(C88),C88,C21)-1),"0.000")&amp;" W. C89 is conservatively safe for heatsink selection.","✅ MOSFET (Vo=0): C89 is exact")</f>
        <v>✅ MOSFET (Vo=0): C89 is exact</v>
      </c>
      <c r="F89" s="33" t="s">
        <v>124</v>
      </c>
      <c r="G89" s="33" t="str">
        <f aca="false">IF(C20&gt;0, "Exact P_diss (BJT)="&amp;TEXT(C17*(1/IF(ISNUMBER(C88),C88,C21)-1),"0.000")&amp;" W  |  Sheet C89 overestimates by "&amp;TEXT((C89-C17*(1/IF(ISNUMBER(C88),C88,C21)-1))/ABS(C17*(1/IF(ISNUMBER(C88),C88,C21)-1))*100,"0.0")&amp;"%  ← Use this for thermal design when Vo&gt;0", "✅ MOSFET (Vo=0): C89 exact")</f>
        <v>✅ MOSFET (Vo=0): C89 exact</v>
      </c>
      <c r="H89" s="8"/>
      <c r="I89" s="33" t="s">
        <v>125</v>
      </c>
      <c r="J89" s="10" t="n">
        <f aca="false">IFERROR(VLOOKUP(B9,'MOSFET Reference Table'!$A:$I,9,0)*1,0)</f>
        <v>300</v>
      </c>
      <c r="K89" s="8"/>
    </row>
    <row r="90" customFormat="false" ht="92.9" hidden="false" customHeight="false" outlineLevel="0" collapsed="false">
      <c r="A90" s="6"/>
      <c r="B90" s="8" t="s">
        <v>126</v>
      </c>
      <c r="C90" s="18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Table'!$A:$A,0)),""))="LDMOS",200,150))-C29)/IFERROR(IF(ISNUMBER(J88),MAX(MIN(J99,C89),0.001),MAX(MIN(C89,C89),0.001)),C89))</f>
        <v>1654.91152619423</v>
      </c>
      <c r="D90" s="32" t="s">
        <v>127</v>
      </c>
      <c r="E90" s="8"/>
      <c r="F90" s="33" t="s">
        <v>128</v>
      </c>
      <c r="G90" s="9"/>
      <c r="H90" s="33" t="str">
        <f aca="false">IF(NOT(ISNUMBER(C90)),"—",IF(C92&gt;=999,"ℹ Enter actual θ_JA (C92) to estimate T_j",IF(C89&lt;=0,"✅ T_j ≈ "&amp;TEXT(C29,"0")&amp;"°C (P_diss≈0)",IF(J105&gt;100,"⚠ T_j ≈ "&amp;TEXT(J105,"0")&amp;"°C: Rds(on) derated ~"&amp;TEXT(((J105+273)/298)^2.3,"0.0")&amp;"× — actual η lower than predicted.","✅ T_j ≈ "&amp;TEXT(J105,"0")&amp;"°C"))))</f>
        <v>ℹ Enter actual θ_JA (C92) to estimate T_j</v>
      </c>
      <c r="I90" s="33" t="str">
        <f aca="false">IF(IFERROR(INDEX('MOSFET Reference Table'!$P:$P,MATCH(B9,'MOSFET Reference Table'!$A:$A,0)),"")="LDMOS","⚠ LDMOS THERMAL NOTE: θ_JA (C90) denominator uses total P_diss (C89) which includes external component losses (ESR_L2, ESR_C2, ESR_C1) that heat passive components, NOT the MOSFET die. Actual MOSFET-only dissipation is typically 60–80% of C89 for LDMOS. C90 is conservative (requires better heatsink than strictly needed). For a tighter estimate: multiply C89 by 0.65–0.80 and use as denominator manually.","✅ Rds(on) available — J98 computes MOSFET-only dissipation for C90 (correct).")</f>
        <v>✅ Rds(on) available — J98 computes MOSFET-only dissipation for C90 (correct).</v>
      </c>
      <c r="J90" s="10" t="n">
        <f aca="false">IF(ISNUMBER(J88),C22+C30+1.365*J88+0.2116*C31,0)</f>
        <v>6.887116</v>
      </c>
      <c r="K90" s="8"/>
    </row>
    <row r="91" customFormat="false" ht="171" hidden="false" customHeight="false" outlineLevel="0" collapsed="false">
      <c r="A91" s="6"/>
      <c r="B91" s="8" t="s">
        <v>129</v>
      </c>
      <c r="C91" s="18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2" t="s">
        <v>18</v>
      </c>
      <c r="E91" s="8"/>
      <c r="F91" s="33" t="s">
        <v>130</v>
      </c>
      <c r="G91" s="33" t="str">
        <f aca="false">IF(ISNUMBER(C42),"ℹ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published.","—")</f>
        <v>ℹ RFC COEFFICIENT NOTE: The C91 cross-check is TAUTOLOGICAL for the RFC coefficients 0.6 (C1) and 0.2 (C2) — they algebraically cancel out in (C52 + 0.2/(ω²·RFC))·ω·R, so C91 CANNOT detect an error in these terms. C91 only verifies the Sokal QL polynomial. To independently verify RFC coefficients: (1) temporarily set C54 to a very large value (e.g. 1e6 H), (2) compare C53·ω·R to Sokal Eq.9, (3) restore C54 formula. The 0.2 and 0.6 values are from Sokal QEX 2001 Table I curve-fitting and are correct as published.</v>
      </c>
      <c r="H91" s="33" t="str">
        <f aca="false">IF(ISNUMBER(C19),IF(C19&lt;=1.7879,"—","ℹ INDEPENDENT RFC-COEFF CHECK (QL from C19): "&amp;"C2_base=(1/(QL-0.1048))*(1.00121+1.01468/(QL-1.7879))="&amp;TEXT((1/(C19-0.104823))*(1.00121+1.01468/(C19-1.7879)),"0.00000")&amp;" | RFC correction on C2: −0.2/(ω²·RFC)="&amp;TEXT(0.2/(C41^2*C54)*(C41*C42),"0.00000")&amp;" (contributes "&amp;TEXT(0.2/(C41^2*C54)*C41*C42/(C52*C41*C42+0.2/(C41^2*C54)*C41*C42)*100,"0.1")&amp;"% of C2·ωR). To verify RFC coeff: set C54=1E+06, re-check C91 vs Sokal Eq.9, then restore C54."),"—")</f>
        <v>ℹ INDEPENDENT RFC-COEFF CHECK (QL from C19): C2_base=(1/(QL-0.1048))*(1.00121+1.01468/(QL-1.7879))=0.26906 | RFC correction on C2: −0.2/(ω²·RFC)=0.00400 (contributes 15% of C2·ωR). To verify RFC coeff: set C54=1E+06, re-check C91 vs Sokal Eq.9, then restore C54.</v>
      </c>
      <c r="I91" s="8"/>
      <c r="J91" s="10" t="n">
        <f aca="false">IF(ISNUMBER(C19),IF(C19&gt;0,0.576801*(1.0000086-0.414395/C19-0.577501/C19^2+0.205967/C19^3),0),0)</f>
        <v>0.516627560010096</v>
      </c>
      <c r="K91" s="8"/>
    </row>
    <row r="92" customFormat="false" ht="79.5" hidden="false" customHeight="false" outlineLevel="0" collapsed="false">
      <c r="A92" s="6"/>
      <c r="B92" s="7" t="s">
        <v>131</v>
      </c>
      <c r="C92" s="7" t="n">
        <v>999</v>
      </c>
      <c r="D92" s="6" t="s">
        <v>127</v>
      </c>
      <c r="E92" s="8" t="str">
        <f aca="false">IF(C92&gt;=999,"ℹ Enter actual θ_JA (°C/W) to see thermally-derated η below (I86).","✅ θ_JA set")</f>
        <v>ℹ Enter actual θ_JA (°C/W) to see thermally-derated η below (I86).</v>
      </c>
      <c r="F92" s="33" t="s">
        <v>132</v>
      </c>
      <c r="G92" s="9"/>
      <c r="H92" s="8"/>
      <c r="I92" s="8"/>
      <c r="J92" s="10" t="n">
        <f aca="false">IF(NOT(ISNUMBER(J88)),IF(AND(ISNUMBER(C21),C21&gt;0),C21,0.8),IF(J90&gt;=C42,"🚨 η&lt;0: Rds losses exceed R — device unsuitable at this operating point",MAX(MIN(C42/(C42+J90),0.99),0.01)))</f>
        <v>0.824202152023751</v>
      </c>
      <c r="K92" s="8"/>
    </row>
    <row r="93" customFormat="false" ht="27.6" hidden="false" customHeight="false" outlineLevel="0" collapsed="false">
      <c r="A93" s="6"/>
      <c r="B93" s="7"/>
      <c r="C93" s="7"/>
      <c r="D93" s="6"/>
      <c r="E93" s="8"/>
      <c r="F93" s="8"/>
      <c r="G93" s="33" t="str">
        <f aca="false">IF(J93&gt;0.15,"🚨 SWITCHING LOSS MODEL INVALID: t_f/T="&amp;TEXT(J93,"0.00")&amp;"&gt; 15%. Sokal alpha formula breaks down. Use LTspice for actual eta. Consider a faster MOSFET (fT &gt;"&amp;TEXT(25*C18,"0")&amp;"MHz).",IF(J93&gt;0.08,"⚠ t_f/T="&amp;TEXT(J93,"0.00")&amp;"&gt; 8% — switching loss model marginal. Verify with LTspice.",IF(J93&gt;0,"ℹ t_f/T="&amp;TEXT(J93,"0.000")&amp;" — switching loss model valid (&lt;&lt; 1).","")))</f>
        <v>ℹ t_f/T=0.058 — switching loss model valid (&lt;&lt; 1).</v>
      </c>
      <c r="H93" s="17"/>
      <c r="I93" s="8"/>
      <c r="J93" s="10" t="n">
        <f aca="false">IF(C34&gt;0,C18*1000000*(C34/1000000000),IF(J89&gt;0,2.5*C18/J89,0))</f>
        <v>0.0583333333333333</v>
      </c>
      <c r="K93" s="8"/>
    </row>
    <row r="94" customFormat="false" ht="15" hidden="false" customHeight="false" outlineLevel="0" collapsed="false">
      <c r="A94" s="6"/>
      <c r="B94" s="7"/>
      <c r="C94" s="7"/>
      <c r="D94" s="6"/>
      <c r="E94" s="8"/>
      <c r="F94" s="8"/>
      <c r="G94" s="8"/>
      <c r="H94" s="17"/>
      <c r="I94" s="8"/>
      <c r="J94" s="10"/>
      <c r="K94" s="8"/>
    </row>
    <row r="95" customFormat="false" ht="15.65" hidden="false" customHeight="false" outlineLevel="0" collapsed="false">
      <c r="A95" s="6"/>
      <c r="B95" s="36" t="s">
        <v>133</v>
      </c>
      <c r="C95" s="7"/>
      <c r="D95" s="6"/>
      <c r="E95" s="8"/>
      <c r="F95" s="9"/>
      <c r="G95" s="9"/>
      <c r="H95" s="33" t="str">
        <f aca="false">IF(C20&gt;0, "⚠ RFC/Coss LOSS BIAS (FIXED): J96 now uses P_in=(Vcc−ΔV)×I_dc for denominator (not Veff=(Vcc−ΔV−Vo)×I_dc). This correctly computes the RFC and Coss loss fractions for BJT (Vo&gt;0). MOSFET (Vo=0): Veff=Vcc−ΔV, no change.", "✅ MOSFET: Veff=Vcc (Vo=0), no bias")</f>
        <v>✅ MOSFET: Veff=Vcc (Vo=0), no bias</v>
      </c>
      <c r="I95" s="33" t="str">
        <f aca="false">IF(C20&gt;0,"ℹ J96 CORRECTED: uses (Vcc−ΔV)×I_dc (not Veff×I_dc) for P_in denominator. Ratio=(Vcc-ΔV)/Veff=1 for MOSFET (Vo=0), exact. For BJT (Vo&gt;0): ratio="&amp;TEXT((C16-C35)/C44,"0.000")&amp;" — RFC/Coss loss fractions now correct.","✅ MOSFET: exact (Vo=0)")</f>
        <v>✅ MOSFET: exact (Vo=0)</v>
      </c>
      <c r="J95" s="10" t="n">
        <f aca="false">0.5*(C32*0.000000000001*C36)*(MAX(C83,3.562*(C16-C20)+C20)-C20)^2*(C18*1000000)*I36</f>
        <v>0.002131557792</v>
      </c>
      <c r="K95" s="8"/>
    </row>
    <row r="96" customFormat="false" ht="15" hidden="false" customHeight="false" outlineLevel="0" collapsed="false">
      <c r="A96" s="6"/>
      <c r="B96" s="42" t="s">
        <v>8</v>
      </c>
      <c r="C96" s="42" t="s">
        <v>9</v>
      </c>
      <c r="D96" s="43" t="s">
        <v>10</v>
      </c>
      <c r="E96" s="29" t="s">
        <v>60</v>
      </c>
      <c r="F96" s="30" t="s">
        <v>48</v>
      </c>
      <c r="G96" s="30"/>
      <c r="H96" s="29"/>
      <c r="I96" s="29"/>
      <c r="J96" s="10" t="n">
        <f aca="false">IF(ISNUMBER(J92),MIN(J92-(PI()*(1+0.82/C19)*J93)^2/3*J92-J95/MAX((C16-C35)*C43,0.001)-C23*C43/MAX(C16-C35,0.001),0.99),J92)</f>
        <v>0.805422403463108</v>
      </c>
      <c r="K96" s="17"/>
      <c r="L96" s="5"/>
    </row>
    <row r="97" customFormat="false" ht="92.9" hidden="false" customHeight="false" outlineLevel="0" collapsed="false">
      <c r="A97" s="6"/>
      <c r="B97" s="7" t="s">
        <v>134</v>
      </c>
      <c r="C97" s="44" t="n">
        <f aca="false">1.4*C18</f>
        <v>9.8</v>
      </c>
      <c r="D97" s="45" t="s">
        <v>16</v>
      </c>
      <c r="E97" s="8"/>
      <c r="F97" s="33" t="s">
        <v>135</v>
      </c>
      <c r="G97" s="33" t="str">
        <f aca="false">IF(C110&gt;=-43,"⚠ 5-pole LPF at fc=1.40×f: "&amp;TEXT(ABS(C110),"0.1")&amp;" dBc at 2f."&amp;" Does NOT meet FCC −43 dBc standalone. Total system: LPF+L2-C2 ≈ "&amp;TEXT(ABS(C110)+20,"0.1")&amp;" dBc at QL=5."&amp;" For standalone compliance use 7-pole LPF sheet or lower fc. Verify with LTspice.","✅ 5-pole at 2f: "&amp;TEXT(ABS(C110),"0.1")&amp;" dBc — standalone filter exceeds −43 dBc")</f>
        <v>⚠ 5-pole LPF at fc=1.40×f: 166 dBc at 2f. Does NOT meet FCC −43 dBc standalone. Total system: LPF+L2-C2 ≈ 366 dBc at QL=5. For standalone compliance use 7-pole LPF sheet or lower fc. Verify with LTspice.</v>
      </c>
      <c r="H97" s="8"/>
      <c r="I97" s="8"/>
      <c r="J97" s="10" t="n">
        <f aca="false">C17</f>
        <v>0.4</v>
      </c>
      <c r="K97" s="8"/>
    </row>
    <row r="98" customFormat="false" ht="15" hidden="false" customHeight="false" outlineLevel="0" collapsed="false">
      <c r="A98" s="6"/>
      <c r="B98" s="7" t="s">
        <v>136</v>
      </c>
      <c r="C98" s="44" t="n">
        <f aca="false">2*PI()*C97*1000000</f>
        <v>61575216.0103599</v>
      </c>
      <c r="D98" s="45" t="s">
        <v>50</v>
      </c>
      <c r="E98" s="8"/>
      <c r="F98" s="8"/>
      <c r="G98" s="9"/>
      <c r="H98" s="8"/>
      <c r="I98" s="8"/>
      <c r="J98" s="10" t="n">
        <f aca="false">IF(ISNUMBER(C19),IF(C19&gt;0,(PI()*(1+0.82/C19)*J93)^2/3*J97,0),0)</f>
        <v>0.00606705637691019</v>
      </c>
      <c r="K98" s="8"/>
    </row>
    <row r="99" customFormat="false" ht="27.6" hidden="false" customHeight="false" outlineLevel="0" collapsed="false">
      <c r="A99" s="6"/>
      <c r="B99" s="7" t="s">
        <v>137</v>
      </c>
      <c r="C99" s="44" t="n">
        <f aca="false">C25</f>
        <v>50</v>
      </c>
      <c r="D99" s="45" t="s">
        <v>22</v>
      </c>
      <c r="E99" s="8"/>
      <c r="F99" s="33" t="s">
        <v>138</v>
      </c>
      <c r="G99" s="9"/>
      <c r="H99" s="33" t="str">
        <f aca="false">IF(ISNUMBER(J99),IF(J99&gt;C89,"⚠ THERMAL NOTE: J98 ("&amp;TEXT(J99,"0.000")&amp;" W) &gt; total P_diss (C89="&amp;TEXT(C89,"0.000")&amp;" W). This can occur because MOSFET conduction/switching losses differ from non-MOSFET losses. C90 is capped at MIN(J98,C89). J98 correctly uses Pout/J92 (resistive-only eta) for the 1.365×Rds/R Sokal term.","✅ J98≤C89: MOSFET thermal model self-consistent."),"—")</f>
        <v>✅ J98≤C89: MOSFET thermal model self-consistent.</v>
      </c>
      <c r="I99" s="8"/>
      <c r="J99" s="10" t="n">
        <f aca="false">IF(ISNUMBER(J88),C43^2*1.365*J88+J98+J95,J98+J95)</f>
        <v>0.075532738772725</v>
      </c>
      <c r="K99" s="8"/>
    </row>
    <row r="100" customFormat="false" ht="132" hidden="false" customHeight="false" outlineLevel="0" collapsed="false">
      <c r="A100" s="6"/>
      <c r="B100" s="7" t="s">
        <v>139</v>
      </c>
      <c r="C100" s="44" t="n">
        <f aca="false">IFERROR(1.1468*C99/C98,0)</f>
        <v>9.31218820090743E-007</v>
      </c>
      <c r="D100" s="45" t="s">
        <v>67</v>
      </c>
      <c r="E100" s="8" t="str">
        <f aca="false">IF(C110+15&lt;-50,"✅ Worst-case likely meets −50 dBc IARU (theoretical: "&amp;TEXT(ABS(C110),"0.0")&amp;" dBc; worst-case: "&amp;TEXT(ABS(C110+15),"0.0")&amp;" dBc). Verify with spectrum analyser.",IF(C110+15&lt;-43,"⚠ Worst-case likely meets FCC −43 dBc only (theoretical: "&amp;TEXT(ABS(C110),"0.0")&amp;" dBc; worst-case: "&amp;TEXT(ABS(C110+15),"0.0")&amp;" dBc). Add filter margin for IARU −50 dBc. Verify with spectrum analyser.","🚨 Worst-case may FAIL FCC −43 dBc (theoretical: "&amp;TEXT(ABS(C110),"0.0")&amp;" dBc; worst-case: "&amp;TEXT(ABS(C110+15),"0.0")&amp;"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100" s="33" t="s">
        <v>140</v>
      </c>
      <c r="G100" s="9"/>
      <c r="H100" s="8"/>
      <c r="I100" s="8"/>
      <c r="J100" s="10" t="n">
        <f aca="false">C29+J99*C92</f>
        <v>100.457206033952</v>
      </c>
      <c r="K100" s="8"/>
    </row>
    <row r="101" customFormat="false" ht="15" hidden="false" customHeight="false" outlineLevel="0" collapsed="false">
      <c r="A101" s="6"/>
      <c r="B101" s="7" t="s">
        <v>141</v>
      </c>
      <c r="C101" s="44" t="n">
        <f aca="false">C100*1000000</f>
        <v>0.931218820090743</v>
      </c>
      <c r="D101" s="45" t="s">
        <v>70</v>
      </c>
      <c r="E101" s="8" t="str">
        <f aca="false">IFERROR(IF(ISNUMBER(C101),TEXT(10^INT(LOG10(ABS(C101)+1E-030))*CHOOSE(MATCH(C101/10^INT(LOG10(ABS(C101)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"&amp;D101,C101),"—")</f>
        <v>0.91 µH</v>
      </c>
      <c r="F101" s="8"/>
      <c r="G101" s="9"/>
      <c r="H101" s="8"/>
      <c r="I101" s="8"/>
      <c r="J101" s="10" t="n">
        <f aca="false">IFERROR(INDEX('MOSFET Reference Table'!$Q:$Q,MATCH(B9,'MOSFET Reference Table'!$A:$A,0)),2.3)</f>
        <v>2.5</v>
      </c>
      <c r="K101" s="8"/>
    </row>
    <row r="102" customFormat="false" ht="15" hidden="false" customHeight="false" outlineLevel="0" collapsed="false">
      <c r="A102" s="6"/>
      <c r="B102" s="7" t="s">
        <v>142</v>
      </c>
      <c r="C102" s="44" t="n">
        <f aca="false">1.3712/(C99*C98)</f>
        <v>4.45373995852259E-010</v>
      </c>
      <c r="D102" s="45" t="s">
        <v>62</v>
      </c>
      <c r="E102" s="8"/>
      <c r="F102" s="33" t="s">
        <v>143</v>
      </c>
      <c r="G102" s="9"/>
      <c r="H102" s="8"/>
      <c r="I102" s="8"/>
      <c r="J102" s="10" t="n">
        <f aca="false">IF(ISNUMBER(J88),J88*((J100+273)/298)^J101,0)</f>
        <v>8.79086181940609</v>
      </c>
      <c r="K102" s="8"/>
    </row>
    <row r="103" customFormat="false" ht="15" hidden="false" customHeight="false" outlineLevel="0" collapsed="false">
      <c r="A103" s="6"/>
      <c r="B103" s="7" t="s">
        <v>144</v>
      </c>
      <c r="C103" s="44" t="n">
        <f aca="false">C102*1000000000000</f>
        <v>445.373995852259</v>
      </c>
      <c r="D103" s="45" t="s">
        <v>30</v>
      </c>
      <c r="E103" s="8" t="str">
        <f aca="false">IFERROR(IF(ISNUMBER(C103),TEXT(10^INT(LOG10(ABS(C103)+1E-030))*CHOOSE(MATCH(C103/10^INT(LOG10(ABS(C103)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"&amp;D103,C103),"—")</f>
        <v>430 pF</v>
      </c>
      <c r="F103" s="8"/>
      <c r="G103" s="9"/>
      <c r="H103" s="8"/>
      <c r="I103" s="8"/>
      <c r="J103" s="10" t="n">
        <f aca="false">MAX(MIN(C42/(C42+C22+C30+1.365*J102+0.2116*C31),0.99),0.01)</f>
        <v>0.728040424577877</v>
      </c>
      <c r="K103" s="8"/>
    </row>
    <row r="104" customFormat="false" ht="27.6" hidden="false" customHeight="false" outlineLevel="0" collapsed="false">
      <c r="A104" s="6"/>
      <c r="B104" s="7" t="s">
        <v>145</v>
      </c>
      <c r="C104" s="44" t="n">
        <f aca="false">IFERROR(1.975*C99/C98,0)</f>
        <v>1.60372965615558E-006</v>
      </c>
      <c r="D104" s="45" t="s">
        <v>67</v>
      </c>
      <c r="E104" s="8"/>
      <c r="F104" s="33" t="s">
        <v>146</v>
      </c>
      <c r="G104" s="9"/>
      <c r="H104" s="8"/>
      <c r="I104" s="8"/>
      <c r="J104" s="10" t="n">
        <f aca="false">MAX(MIN(J103-(PI()*(1+0.82/C19)*J93)^2/3*J103-J95/MAX((C16-C35)*C43,0.001)-C23*C43/MAX(C16-C35,0.001),0.99),0.01)</f>
        <v>0.710719222571096</v>
      </c>
      <c r="K104" s="8"/>
    </row>
    <row r="105" customFormat="false" ht="15" hidden="false" customHeight="false" outlineLevel="0" collapsed="false">
      <c r="A105" s="6"/>
      <c r="B105" s="7" t="s">
        <v>147</v>
      </c>
      <c r="C105" s="44" t="n">
        <f aca="false">C104*1000000</f>
        <v>1.60372965615558</v>
      </c>
      <c r="D105" s="45" t="s">
        <v>70</v>
      </c>
      <c r="E105" s="8" t="str">
        <f aca="false">IFERROR(IF(ISNUMBER(C105),TEXT(10^INT(LOG10(ABS(C105)+1E-030))*CHOOSE(MATCH(C105/10^INT(LOG10(ABS(C105)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"&amp;D105,C105),"—")</f>
        <v>1.6 µH</v>
      </c>
      <c r="F105" s="8"/>
      <c r="G105" s="9"/>
      <c r="H105" s="8"/>
      <c r="I105" s="8"/>
      <c r="J105" s="10" t="n">
        <f aca="false">J100</f>
        <v>100.457206033952</v>
      </c>
      <c r="K105" s="8"/>
    </row>
    <row r="106" customFormat="false" ht="27.6" hidden="false" customHeight="false" outlineLevel="0" collapsed="false">
      <c r="A106" s="6"/>
      <c r="B106" s="6" t="s">
        <v>148</v>
      </c>
      <c r="C106" s="44" t="n">
        <f aca="false">1.3712/(C99*C98)</f>
        <v>4.45373995852259E-010</v>
      </c>
      <c r="D106" s="45" t="s">
        <v>62</v>
      </c>
      <c r="E106" s="8"/>
      <c r="F106" s="33" t="s">
        <v>149</v>
      </c>
      <c r="G106" s="9"/>
      <c r="H106" s="9"/>
      <c r="I106" s="8"/>
      <c r="J106" s="10"/>
      <c r="K106" s="8"/>
    </row>
    <row r="107" customFormat="false" ht="15" hidden="false" customHeight="false" outlineLevel="0" collapsed="false">
      <c r="A107" s="6"/>
      <c r="B107" s="6" t="s">
        <v>150</v>
      </c>
      <c r="C107" s="44" t="n">
        <f aca="false">C106*1000000000000</f>
        <v>445.373995852259</v>
      </c>
      <c r="D107" s="45" t="s">
        <v>30</v>
      </c>
      <c r="E107" s="8" t="str">
        <f aca="false">IFERROR(IF(ISNUMBER(C107),TEXT(10^INT(LOG10(ABS(C107)+1E-030))*CHOOSE(MATCH(C107/10^INT(LOG10(ABS(C107)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"&amp;D107,C107),"—")</f>
        <v>430 pF</v>
      </c>
      <c r="F107" s="8"/>
      <c r="G107" s="9"/>
      <c r="H107" s="9"/>
      <c r="I107" s="8"/>
      <c r="J107" s="10"/>
      <c r="K107" s="8"/>
    </row>
    <row r="108" customFormat="false" ht="92.9" hidden="false" customHeight="false" outlineLevel="0" collapsed="false">
      <c r="A108" s="6"/>
      <c r="B108" s="6" t="s">
        <v>151</v>
      </c>
      <c r="C108" s="44" t="n">
        <f aca="false">IFERROR(1.1468*C99/C98,0)</f>
        <v>9.31218820090743E-007</v>
      </c>
      <c r="D108" s="45" t="s">
        <v>67</v>
      </c>
      <c r="E108" s="8"/>
      <c r="F108" s="33" t="s">
        <v>152</v>
      </c>
      <c r="G108" s="9"/>
      <c r="H108" s="9"/>
      <c r="I108" s="8"/>
      <c r="J108" s="10"/>
      <c r="K108" s="8"/>
    </row>
    <row r="109" customFormat="false" ht="15" hidden="false" customHeight="false" outlineLevel="0" collapsed="false">
      <c r="A109" s="6"/>
      <c r="B109" s="6" t="s">
        <v>153</v>
      </c>
      <c r="C109" s="44" t="n">
        <f aca="false">C108*1000000</f>
        <v>0.931218820090743</v>
      </c>
      <c r="D109" s="45" t="s">
        <v>70</v>
      </c>
      <c r="E109" s="8" t="str">
        <f aca="false">IFERROR(IF(ISNUMBER(C109),TEXT(10^INT(LOG10(ABS(C109)+1E-030))*CHOOSE(MATCH(C109/10^INT(LOG10(ABS(C109)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"&amp;D109,C109),"—")</f>
        <v>0.91 µH</v>
      </c>
      <c r="F109" s="8"/>
      <c r="G109" s="9"/>
      <c r="H109" s="9"/>
      <c r="I109" s="8"/>
      <c r="J109" s="10"/>
      <c r="K109" s="8"/>
    </row>
    <row r="110" customFormat="false" ht="66.75" hidden="false" customHeight="false" outlineLevel="0" collapsed="false">
      <c r="A110" s="6"/>
      <c r="B110" s="7" t="s">
        <v>154</v>
      </c>
      <c r="C110" s="44" t="n">
        <f aca="false">-10*LOG10((1+(10^(0.1/10)-1)*(16*(2*C18/C97)^5-20*(2*C18/C97)^3+5*(2*C18/C97))^2)/(1+(10^(0.1/10)-1)*(16*(C18/C97)^5-20*(C18/C97)^3+5*(C18/C97))^2))</f>
        <v>-16.5874077706108</v>
      </c>
      <c r="D110" s="45" t="s">
        <v>155</v>
      </c>
      <c r="E110" s="8" t="str">
        <f aca="false">IF(-10*LOG10((1+(10^(0.1/10)-1)*(4*(2*C18/C97)^3-3*(2*C18/C97))^2)/(1+(10^(0.1/10)-1)*(4*(C18/C97)^3-3*(C18/C97))^2))&lt;=-50,"3 poles min for −50 dBc at 2f",IF(-10*LOG10((1+(10^(0.1/10)-1)*(8*(2*C18/C97)^4-8*(2*C18/C97)^2+1)^2)/(1+(10^(0.1/10)-1)*(8*(C18/C97)^4-8*(C18/C97)^2+1)^2))&lt;=-50,"4 poles min for −50 dBc at 2f",IF(-10*LOG10((1+(10^(0.1/10)-1)*(16*(2*C18/C97)^5-20*(2*C18/C97)^3+5*(2*C18/C97))^2)/(1+(10^(0.1/10)-1)*(16*(C18/C97)^5-20*(C18/C97)^3+5*(C18/C97))^2))&lt;=-50,"5 poles min for −50 dBc at 2f",IF(-10*LOG10((1+(10^(0.1/10)-1)*(32*(2*C18/C97)^6-48*(2*C18/C97)^4+18*(2*C18/C97)^2-1)^2)/(1+(10^(0.1/10)-1)*(32*(C18/C97)^6-48*(C18/C97)^4+18*(C18/C97)^2-1)^2))&lt;=-50,"6 poles min for −50 dBc at 2f",IF(-10*LOG10((1+(10^(0.1/10)-1)*(64*(2*C18/C97)^7-112*(2*C18/C97)^5+56*(2*C18/C97)^3-7*(2*C18/C97))^2)/(1+(10^(0.1/10)-1)*(64*(C18/C97)^7-112*(C18/C97)^5+56*(C18/C97)^3-7*(C18/C97))^2))&lt;=-50,"7 poles min for −50 dBc at 2f",IF(-10*LOG10((1+(10^(0.1/10)-1)*(128*(2*C18/C97)^8-256*(2*C18/C97)^6+160*(2*C18/C97)^4-32*(2*C18/C97)^2+1)^2)/(1+(10^(0.1/10)-1)*(128*(C18/C97)^8-256*(C18/C97)^6+160*(C18/C97)^4-32*(C18/C97)^2+1)^2))&lt;=-50,"8 poles min for −50 dBc at 2f","9+ poles required for −50 dBc at 2f"))))))</f>
        <v>9+ poles required for −50 dBc at 2f</v>
      </c>
      <c r="F110" s="33" t="str">
        <f aca="false">IF(C110&lt;-50,"✅ "&amp;TEXT(ABS(C110),"0.0")&amp;"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"&amp;TEXT(ABS(C110),"0.0")&amp;" dBc at 2f — insufficient for IARU (−50 dBc required). Increase filter order or lower fc.")</f>
        <v>⚠ 16.6 dBc at 2f — insufficient for IARU (−50 dBc required). Increase filter order or lower fc.</v>
      </c>
      <c r="G110" s="9"/>
      <c r="H110" s="33" t="str">
        <f aca="false">IF(ISNUMBER(C110),"⚠ THEORETICAL VALUE — assumes 50Ω source. Actual rejection may be 10–20 dB lower. Worst-case estimate: "&amp;TEXT(C110+15,"0.0")&amp;" dBc. "&amp;IF(C110+15&gt;-50,"🚨 Worst-case may not meet −50 dBc IARU. Verify with spectrum analyser before regulatory submission.",IF(C110+15&gt;-43,"⚠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10" s="8"/>
      <c r="J110" s="10"/>
      <c r="K110" s="8"/>
    </row>
    <row r="111" customFormat="false" ht="40.5" hidden="false" customHeight="false" outlineLevel="0" collapsed="false">
      <c r="A111" s="6"/>
      <c r="B111" s="7" t="s">
        <v>156</v>
      </c>
      <c r="C111" s="44" t="n">
        <f aca="false">-10*LOG10((1+(10^(0.1/10)-1)*(16*(3*C18/C97)^5-20*(3*C18/C97)^3+5*(3*C18/C97))^2)/(1+(10^(0.1/10)-1)*(16*(C18/C97)^5-20*(C18/C97)^3+5*(C18/C97))^2))</f>
        <v>-38.2143276045362</v>
      </c>
      <c r="D111" s="45" t="s">
        <v>155</v>
      </c>
      <c r="E111" s="8" t="str">
        <f aca="false">IF(-10*LOG10((1+(10^(0.1/10)-1)*(4*(3*C18/C97)^3-3*(3*C18/C97))^2)/(1+(10^(0.1/10)-1)*(4*(C18/C97)^3-3*(C18/C97))^2))&lt;=-50,"3 poles min for −50 dBc at 3f",IF(-10*LOG10((1+(10^(0.1/10)-1)*(8*(3*C18/C97)^4-8*(3*C18/C97)^2+1)^2)/(1+(10^(0.1/10)-1)*(8*(C18/C97)^4-8*(C18/C97)^2+1)^2))&lt;=-50,"4 poles min for −50 dBc at 3f",IF(-10*LOG10((1+(10^(0.1/10)-1)*(16*(3*C18/C97)^5-20*(3*C18/C97)^3+5*(3*C18/C97))^2)/(1+(10^(0.1/10)-1)*(16*(C18/C97)^5-20*(C18/C97)^3+5*(C18/C97))^2))&lt;=-50,"5 poles min for −50 dBc at 3f",IF(-10*LOG10((1+(10^(0.1/10)-1)*(32*(3*C18/C97)^6-48*(3*C18/C97)^4+18*(3*C18/C97)^2-1)^2)/(1+(10^(0.1/10)-1)*(32*(C18/C97)^6-48*(C18/C97)^4+18*(C18/C97)^2-1)^2))&lt;=-50,"6 poles min for −50 dBc at 3f",IF(-10*LOG10((1+(10^(0.1/10)-1)*(64*(3*C18/C97)^7-112*(3*C18/C97)^5+56*(3*C18/C97)^3-7*(3*C18/C97))^2)/(1+(10^(0.1/10)-1)*(64*(C18/C97)^7-112*(C18/C97)^5+56*(C18/C97)^3-7*(C18/C97))^2))&lt;=-50,"7 poles min for −50 dBc at 3f",IF(-10*LOG10((1+(10^(0.1/10)-1)*(128*(3*C18/C97)^8-256*(3*C18/C97)^6+160*(3*C18/C97)^4-32*(3*C18/C97)^2+1)^2)/(1+(10^(0.1/10)-1)*(128*(C18/C97)^8-256*(C18/C97)^6+160*(C18/C97)^4-32*(C18/C97)^2+1)^2))&lt;=-50,"8 poles min for −50 dBc at 3f","9+ poles required for −50 dBc at 3f"))))))</f>
        <v>6 poles min for −50 dBc at 3f</v>
      </c>
      <c r="F111" s="33" t="str">
        <f aca="false">IF(C111&lt;-50,"✅ "&amp;TEXT(ABS(C111),"0.0")&amp;" dBc at 3f — meets IARU recommendation (−50 dBc) and FCC §97.307. ⚠ 50Ω SOURCE ASSUMPTION: Actual 3f attenuation may differ by ±10–20 dB when source impedance ≠ 50Ω. Verify with LTspice or spectrum analyser.","⚠ "&amp;TEXT(ABS(C111),"0.0")&amp;"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1" s="9"/>
      <c r="H111" s="8"/>
      <c r="I111" s="8"/>
      <c r="J111" s="10"/>
      <c r="K111" s="8"/>
    </row>
    <row r="112" customFormat="false" ht="79.5" hidden="false" customHeight="false" outlineLevel="0" collapsed="false">
      <c r="A112" s="6"/>
      <c r="B112" s="7" t="s">
        <v>157</v>
      </c>
      <c r="C112" s="44"/>
      <c r="D112" s="6"/>
      <c r="E112" s="8"/>
      <c r="F112" s="33" t="str">
        <f aca="false">IF(C65&lt;0.01,IF(ABS(C42-C99)/MAX(C99,0.001)&lt;0.05,"✅ R_opt≈Z_load≈"&amp;TEXT(C99,"0")&amp;"Ω — no L-network needed and LPF is VALID (source = R_opt = Z0 = "&amp;TEXT(ROUND(C99,0),"0")&amp;"Ω). No impedance mismatch.","🚨 LPF SOURCE MISMATCH: No L-network and R_drain ("&amp;TEXT(C42,"0.0")&amp;"Ω) ≠ "&amp;TEXT(C99,"0")&amp;"Ω LPF reference. LPF attenuation values INVALID for this source impedance. Use LPF Direct sheets for direct-drain connection, or add L-network."),"✅ L-network active (Q_match="&amp;TEXT(C65,"0.00")&amp;"×) — LPF source ≈ "&amp;TEXT(C99,"0")&amp;"Ω. Attenuation formulas assume ideal "&amp;TEXT(C99,"0")&amp;"Ω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50Ω. Attenuation formulas assume ideal 50Ω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2" s="9"/>
      <c r="H112" s="8"/>
      <c r="I112" s="8"/>
      <c r="J112" s="10"/>
      <c r="K112" s="8"/>
    </row>
    <row r="113" customFormat="false" ht="15" hidden="false" customHeight="false" outlineLevel="0" collapsed="false">
      <c r="A113" s="6"/>
      <c r="B113" s="6"/>
      <c r="C113" s="7"/>
      <c r="D113" s="6"/>
      <c r="E113" s="8"/>
      <c r="F113" s="9"/>
      <c r="G113" s="9"/>
      <c r="H113" s="8"/>
      <c r="I113" s="8"/>
      <c r="J113" s="10"/>
      <c r="K113" s="8"/>
    </row>
    <row r="114" customFormat="false" ht="15" hidden="false" customHeight="false" outlineLevel="0" collapsed="false">
      <c r="A114" s="6"/>
      <c r="B114" s="46" t="s">
        <v>158</v>
      </c>
      <c r="C114" s="7"/>
      <c r="D114" s="6"/>
      <c r="E114" s="8"/>
      <c r="F114" s="9"/>
      <c r="G114" s="9"/>
      <c r="H114" s="8"/>
      <c r="I114" s="8"/>
      <c r="J114" s="10"/>
      <c r="K114" s="8"/>
    </row>
    <row r="115" customFormat="false" ht="27.6" hidden="false" customHeight="false" outlineLevel="0" collapsed="false">
      <c r="A115" s="6"/>
      <c r="B115" s="47" t="s">
        <v>159</v>
      </c>
      <c r="C115" s="8"/>
      <c r="D115" s="9"/>
      <c r="E115" s="8"/>
      <c r="F115" s="9"/>
      <c r="G115" s="9"/>
      <c r="H115" s="8"/>
      <c r="I115" s="8"/>
      <c r="J115" s="10"/>
      <c r="K115" s="8"/>
    </row>
    <row r="116" customFormat="false" ht="27.6" hidden="false" customHeight="false" outlineLevel="0" collapsed="false">
      <c r="A116" s="6"/>
      <c r="B116" s="47" t="s">
        <v>160</v>
      </c>
      <c r="C116" s="8"/>
      <c r="D116" s="9"/>
      <c r="E116" s="8"/>
      <c r="F116" s="9"/>
      <c r="G116" s="9"/>
      <c r="H116" s="8"/>
      <c r="I116" s="8"/>
      <c r="J116" s="10"/>
      <c r="K116" s="8"/>
    </row>
    <row r="117" customFormat="false" ht="27.6" hidden="false" customHeight="false" outlineLevel="0" collapsed="false">
      <c r="A117" s="6"/>
      <c r="B117" s="47" t="s">
        <v>161</v>
      </c>
      <c r="C117" s="8"/>
      <c r="D117" s="9"/>
      <c r="E117" s="8"/>
      <c r="F117" s="9"/>
      <c r="G117" s="9"/>
      <c r="H117" s="8"/>
      <c r="I117" s="8"/>
      <c r="J117" s="10"/>
      <c r="K117" s="8"/>
    </row>
    <row r="118" customFormat="false" ht="27.6" hidden="false" customHeight="false" outlineLevel="0" collapsed="false">
      <c r="A118" s="6"/>
      <c r="B118" s="47" t="s">
        <v>162</v>
      </c>
      <c r="C118" s="8"/>
      <c r="D118" s="9"/>
      <c r="E118" s="8"/>
      <c r="F118" s="9"/>
      <c r="G118" s="9"/>
      <c r="H118" s="8"/>
      <c r="I118" s="8"/>
      <c r="J118" s="10"/>
      <c r="K118" s="8"/>
    </row>
    <row r="119" customFormat="false" ht="27.6" hidden="false" customHeight="false" outlineLevel="0" collapsed="false">
      <c r="A119" s="6"/>
      <c r="B119" s="47" t="s">
        <v>163</v>
      </c>
      <c r="C119" s="8"/>
      <c r="D119" s="9"/>
      <c r="E119" s="8"/>
      <c r="F119" s="9"/>
      <c r="G119" s="9"/>
      <c r="H119" s="8"/>
      <c r="I119" s="8"/>
      <c r="J119" s="10"/>
      <c r="K119" s="8"/>
    </row>
    <row r="120" customFormat="false" ht="27.6" hidden="false" customHeight="false" outlineLevel="0" collapsed="false">
      <c r="A120" s="6"/>
      <c r="B120" s="47" t="s">
        <v>164</v>
      </c>
      <c r="C120" s="8"/>
      <c r="D120" s="9"/>
      <c r="E120" s="8"/>
      <c r="F120" s="9"/>
      <c r="G120" s="9"/>
      <c r="H120" s="8"/>
      <c r="I120" s="8"/>
      <c r="J120" s="10"/>
      <c r="K120" s="8"/>
    </row>
    <row r="121" customFormat="false" ht="15" hidden="false" customHeight="false" outlineLevel="0" collapsed="false">
      <c r="A121" s="6"/>
      <c r="B121" s="47" t="s">
        <v>165</v>
      </c>
      <c r="C121" s="8"/>
      <c r="D121" s="9"/>
      <c r="E121" s="8"/>
      <c r="F121" s="9"/>
      <c r="G121" s="9"/>
      <c r="H121" s="8"/>
      <c r="I121" s="8"/>
      <c r="J121" s="10"/>
      <c r="K121" s="8"/>
    </row>
    <row r="122" customFormat="false" ht="27.6" hidden="false" customHeight="false" outlineLevel="0" collapsed="false">
      <c r="A122" s="6"/>
      <c r="B122" s="47" t="s">
        <v>166</v>
      </c>
      <c r="C122" s="8"/>
      <c r="D122" s="9"/>
      <c r="E122" s="8"/>
      <c r="F122" s="9"/>
      <c r="G122" s="9"/>
      <c r="H122" s="8"/>
      <c r="I122" s="8"/>
      <c r="J122" s="10"/>
      <c r="K122" s="8"/>
    </row>
    <row r="123" customFormat="false" ht="27.6" hidden="false" customHeight="false" outlineLevel="0" collapsed="false">
      <c r="A123" s="6"/>
      <c r="B123" s="47" t="s">
        <v>167</v>
      </c>
      <c r="C123" s="8"/>
      <c r="D123" s="9"/>
      <c r="E123" s="8"/>
      <c r="F123" s="9"/>
      <c r="G123" s="9"/>
      <c r="H123" s="8"/>
      <c r="I123" s="8"/>
      <c r="J123" s="10"/>
      <c r="K123" s="8"/>
    </row>
    <row r="124" customFormat="false" ht="15" hidden="false" customHeight="false" outlineLevel="0" collapsed="false">
      <c r="A124" s="6"/>
      <c r="B124" s="47" t="s">
        <v>168</v>
      </c>
      <c r="C124" s="8"/>
      <c r="D124" s="9"/>
      <c r="E124" s="8"/>
      <c r="F124" s="9"/>
      <c r="G124" s="9"/>
      <c r="H124" s="8"/>
      <c r="I124" s="8"/>
      <c r="J124" s="10"/>
      <c r="K124" s="8"/>
    </row>
    <row r="125" customFormat="false" ht="27.6" hidden="false" customHeight="false" outlineLevel="0" collapsed="false">
      <c r="A125" s="6"/>
      <c r="B125" s="47" t="s">
        <v>169</v>
      </c>
      <c r="C125" s="8"/>
      <c r="D125" s="9"/>
      <c r="E125" s="8"/>
      <c r="F125" s="9"/>
      <c r="G125" s="9"/>
      <c r="H125" s="8"/>
      <c r="I125" s="8"/>
      <c r="J125" s="10"/>
      <c r="K125" s="8"/>
    </row>
    <row r="126" customFormat="false" ht="27.6" hidden="false" customHeight="false" outlineLevel="0" collapsed="false">
      <c r="A126" s="6"/>
      <c r="B126" s="47" t="s">
        <v>170</v>
      </c>
      <c r="C126" s="8"/>
      <c r="D126" s="9"/>
      <c r="E126" s="8"/>
      <c r="F126" s="9"/>
      <c r="G126" s="9"/>
      <c r="H126" s="8"/>
      <c r="I126" s="8"/>
      <c r="J126" s="10"/>
      <c r="K126" s="8"/>
    </row>
    <row r="127" customFormat="false" ht="15" hidden="false" customHeight="false" outlineLevel="0" collapsed="false">
      <c r="A127" s="6"/>
      <c r="B127" s="48"/>
      <c r="C127" s="7"/>
      <c r="D127" s="6"/>
      <c r="E127" s="8"/>
      <c r="F127" s="9"/>
      <c r="G127" s="9"/>
      <c r="H127" s="8"/>
      <c r="I127" s="8"/>
      <c r="J127" s="10"/>
      <c r="K127" s="8"/>
    </row>
    <row r="128" customFormat="false" ht="15" hidden="false" customHeight="false" outlineLevel="0" collapsed="false">
      <c r="B128" s="49"/>
    </row>
    <row r="129" customFormat="false" ht="15" hidden="false" customHeight="false" outlineLevel="0" collapsed="false">
      <c r="B129" s="49"/>
    </row>
    <row r="130" customFormat="false" ht="15" hidden="false" customHeight="false" outlineLevel="0" collapsed="false">
      <c r="B130" s="49"/>
    </row>
    <row r="133" customFormat="false" ht="15" hidden="false" customHeight="false" outlineLevel="0" collapsed="false">
      <c r="B133" s="2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21" activeCellId="0" sqref="F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50" width="2.55"/>
    <col collapsed="false" customWidth="true" hidden="false" outlineLevel="0" max="2" min="2" style="50" width="81.39"/>
    <col collapsed="false" customWidth="true" hidden="false" outlineLevel="0" max="3" min="3" style="50" width="16.01"/>
    <col collapsed="false" customWidth="true" hidden="false" outlineLevel="0" max="4" min="4" style="51" width="6.39"/>
    <col collapsed="false" customWidth="true" hidden="false" outlineLevel="0" max="5" min="5" style="50" width="11.53"/>
    <col collapsed="false" customWidth="true" hidden="false" outlineLevel="0" max="6" min="6" style="50" width="42.43"/>
    <col collapsed="false" customWidth="true" hidden="false" outlineLevel="0" max="7" min="7" style="50" width="9.57"/>
    <col collapsed="false" customWidth="true" hidden="false" outlineLevel="0" max="8" min="8" style="50" width="42.57"/>
    <col collapsed="false" customWidth="true" hidden="false" outlineLevel="0" max="9" min="9" style="50" width="28.52"/>
    <col collapsed="false" customWidth="true" hidden="false" outlineLevel="0" max="10" min="10" style="52" width="2.55"/>
    <col collapsed="false" customWidth="false" hidden="false" outlineLevel="0" max="16382" min="12" style="50" width="8.68"/>
    <col collapsed="false" customWidth="true" hidden="false" outlineLevel="0" max="16384" min="16383" style="50" width="11.53"/>
  </cols>
  <sheetData>
    <row r="1" customFormat="false" ht="15" hidden="false" customHeight="false" outlineLevel="0" collapsed="false">
      <c r="A1" s="53"/>
      <c r="B1" s="53"/>
      <c r="C1" s="53"/>
      <c r="D1" s="54"/>
      <c r="E1" s="53"/>
      <c r="F1" s="53"/>
      <c r="G1" s="53"/>
      <c r="H1" s="53"/>
      <c r="I1" s="53"/>
      <c r="J1" s="55"/>
    </row>
    <row r="2" customFormat="false" ht="15.65" hidden="false" customHeight="false" outlineLevel="0" collapsed="false">
      <c r="A2" s="53"/>
      <c r="B2" s="36" t="s">
        <v>171</v>
      </c>
      <c r="C2" s="53"/>
      <c r="D2" s="54"/>
      <c r="E2" s="53"/>
      <c r="F2" s="53"/>
      <c r="G2" s="53"/>
      <c r="H2" s="53"/>
      <c r="I2" s="53"/>
      <c r="J2" s="55"/>
    </row>
    <row r="3" customFormat="false" ht="15" hidden="false" customHeight="false" outlineLevel="0" collapsed="false">
      <c r="A3" s="53"/>
      <c r="B3" s="36"/>
      <c r="C3" s="53"/>
      <c r="D3" s="54"/>
      <c r="E3" s="53"/>
      <c r="F3" s="53"/>
      <c r="G3" s="53"/>
      <c r="H3" s="53"/>
      <c r="I3" s="53"/>
      <c r="J3" s="55"/>
    </row>
    <row r="4" customFormat="false" ht="23.1" hidden="false" customHeight="false" outlineLevel="0" collapsed="false">
      <c r="A4" s="53"/>
      <c r="B4" s="56" t="s">
        <v>172</v>
      </c>
      <c r="C4" s="53"/>
      <c r="D4" s="54"/>
      <c r="E4" s="53"/>
      <c r="F4" s="53"/>
      <c r="G4" s="53"/>
      <c r="H4" s="53"/>
      <c r="I4" s="53"/>
      <c r="J4" s="55"/>
    </row>
    <row r="5" customFormat="false" ht="15" hidden="false" customHeight="false" outlineLevel="0" collapsed="false">
      <c r="A5" s="53"/>
      <c r="B5" s="57" t="s">
        <v>2</v>
      </c>
      <c r="C5" s="53"/>
      <c r="D5" s="54"/>
      <c r="E5" s="53"/>
      <c r="F5" s="53"/>
      <c r="G5" s="53"/>
      <c r="H5" s="53"/>
      <c r="I5" s="53"/>
      <c r="J5" s="55"/>
    </row>
    <row r="6" customFormat="false" ht="15" hidden="false" customHeight="false" outlineLevel="0" collapsed="false">
      <c r="A6" s="53"/>
      <c r="B6" s="53"/>
      <c r="C6" s="53"/>
      <c r="D6" s="54"/>
      <c r="E6" s="53"/>
      <c r="F6" s="53"/>
      <c r="G6" s="53"/>
      <c r="H6" s="53"/>
      <c r="I6" s="53"/>
      <c r="J6" s="55"/>
    </row>
    <row r="7" customFormat="false" ht="87.65" hidden="false" customHeight="false" outlineLevel="0" collapsed="false">
      <c r="A7" s="53"/>
      <c r="B7" s="58" t="s">
        <v>173</v>
      </c>
      <c r="C7" s="53"/>
      <c r="D7" s="54"/>
      <c r="E7" s="53"/>
      <c r="F7" s="53"/>
      <c r="G7" s="53"/>
      <c r="H7" s="53"/>
      <c r="I7" s="53"/>
      <c r="J7" s="55"/>
    </row>
    <row r="8" customFormat="false" ht="15" hidden="false" customHeight="false" outlineLevel="0" collapsed="false">
      <c r="A8" s="53"/>
      <c r="B8" s="53"/>
      <c r="C8" s="53"/>
      <c r="D8" s="54"/>
      <c r="E8" s="53"/>
      <c r="F8" s="53"/>
      <c r="G8" s="53"/>
      <c r="H8" s="53"/>
      <c r="I8" s="53"/>
      <c r="J8" s="55"/>
    </row>
    <row r="9" customFormat="false" ht="15.65" hidden="false" customHeight="false" outlineLevel="0" collapsed="false">
      <c r="A9" s="53"/>
      <c r="B9" s="59" t="s">
        <v>174</v>
      </c>
      <c r="C9" s="53"/>
      <c r="D9" s="54"/>
      <c r="E9" s="53"/>
      <c r="F9" s="53"/>
      <c r="G9" s="53"/>
      <c r="H9" s="53"/>
      <c r="I9" s="53"/>
      <c r="J9" s="55"/>
    </row>
    <row r="10" customFormat="false" ht="15" hidden="false" customHeight="false" outlineLevel="0" collapsed="false">
      <c r="A10" s="53"/>
      <c r="B10" s="42" t="s">
        <v>8</v>
      </c>
      <c r="C10" s="60" t="s">
        <v>9</v>
      </c>
      <c r="D10" s="61" t="s">
        <v>10</v>
      </c>
      <c r="E10" s="62"/>
      <c r="F10" s="61" t="s">
        <v>48</v>
      </c>
      <c r="G10" s="62"/>
      <c r="H10" s="62"/>
      <c r="I10" s="62"/>
      <c r="J10" s="55"/>
    </row>
    <row r="11" customFormat="false" ht="27.6" hidden="false" customHeight="false" outlineLevel="0" collapsed="false">
      <c r="A11" s="53"/>
      <c r="B11" s="7" t="s">
        <v>175</v>
      </c>
      <c r="C11" s="63" t="n">
        <f aca="false">'Class-E Calculator'!C18</f>
        <v>7</v>
      </c>
      <c r="D11" s="64" t="s">
        <v>16</v>
      </c>
      <c r="E11" s="53"/>
      <c r="F11" s="65" t="s">
        <v>176</v>
      </c>
      <c r="G11" s="53"/>
      <c r="H11" s="53"/>
      <c r="I11" s="53"/>
      <c r="J11" s="55"/>
    </row>
    <row r="12" customFormat="false" ht="53.7" hidden="false" customHeight="false" outlineLevel="0" collapsed="false">
      <c r="A12" s="53"/>
      <c r="B12" s="7" t="s">
        <v>177</v>
      </c>
      <c r="C12" s="63" t="n">
        <f aca="false">'Class-E Calculator'!C42</f>
        <v>32.289222500631</v>
      </c>
      <c r="D12" s="64" t="s">
        <v>22</v>
      </c>
      <c r="E12" s="53"/>
      <c r="F12" s="65" t="s">
        <v>178</v>
      </c>
      <c r="G12" s="53"/>
      <c r="H12" s="53"/>
      <c r="I12" s="53"/>
      <c r="J12" s="55"/>
    </row>
    <row r="13" customFormat="false" ht="27.6" hidden="false" customHeight="false" outlineLevel="0" collapsed="false">
      <c r="A13" s="53"/>
      <c r="B13" s="7" t="s">
        <v>179</v>
      </c>
      <c r="C13" s="63" t="n">
        <f aca="false">'Class-E Calculator'!C25</f>
        <v>50</v>
      </c>
      <c r="D13" s="64" t="s">
        <v>22</v>
      </c>
      <c r="E13" s="53"/>
      <c r="F13" s="65" t="s">
        <v>180</v>
      </c>
      <c r="G13" s="53"/>
      <c r="H13" s="53"/>
      <c r="I13" s="53"/>
      <c r="J13" s="55"/>
    </row>
    <row r="14" customFormat="false" ht="27.6" hidden="false" customHeight="false" outlineLevel="0" collapsed="false">
      <c r="A14" s="53"/>
      <c r="B14" s="7" t="s">
        <v>181</v>
      </c>
      <c r="C14" s="63" t="n">
        <f aca="false">'Class-E Calculator'!C16</f>
        <v>5</v>
      </c>
      <c r="D14" s="64" t="s">
        <v>12</v>
      </c>
      <c r="E14" s="53"/>
      <c r="F14" s="65" t="s">
        <v>182</v>
      </c>
      <c r="G14" s="53"/>
      <c r="H14" s="53"/>
      <c r="I14" s="53"/>
      <c r="J14" s="55"/>
    </row>
    <row r="15" customFormat="false" ht="15" hidden="false" customHeight="false" outlineLevel="0" collapsed="false">
      <c r="A15" s="53"/>
      <c r="B15" s="7" t="s">
        <v>183</v>
      </c>
      <c r="C15" s="63" t="n">
        <f aca="false">'Class-E Calculator'!C17</f>
        <v>0.4</v>
      </c>
      <c r="D15" s="64" t="s">
        <v>14</v>
      </c>
      <c r="E15" s="53"/>
      <c r="F15" s="65" t="s">
        <v>184</v>
      </c>
      <c r="G15" s="53"/>
      <c r="H15" s="53"/>
      <c r="I15" s="53"/>
      <c r="J15" s="55"/>
    </row>
    <row r="16" customFormat="false" ht="15" hidden="false" customHeight="false" outlineLevel="0" collapsed="false">
      <c r="A16" s="53"/>
      <c r="B16" s="66"/>
      <c r="C16" s="67"/>
      <c r="D16" s="54"/>
      <c r="E16" s="53"/>
      <c r="F16" s="53"/>
      <c r="G16" s="53"/>
      <c r="H16" s="53"/>
      <c r="I16" s="53"/>
      <c r="J16" s="55"/>
    </row>
    <row r="17" customFormat="false" ht="15.65" hidden="false" customHeight="false" outlineLevel="0" collapsed="false">
      <c r="A17" s="53"/>
      <c r="B17" s="36" t="s">
        <v>47</v>
      </c>
      <c r="C17" s="67"/>
      <c r="D17" s="54"/>
      <c r="E17" s="53"/>
      <c r="F17" s="33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53"/>
      <c r="H17" s="53"/>
      <c r="I17" s="53"/>
      <c r="J17" s="55"/>
    </row>
    <row r="18" customFormat="false" ht="15" hidden="false" customHeight="false" outlineLevel="0" collapsed="false">
      <c r="A18" s="53"/>
      <c r="B18" s="42" t="s">
        <v>8</v>
      </c>
      <c r="C18" s="60" t="s">
        <v>9</v>
      </c>
      <c r="D18" s="61" t="s">
        <v>10</v>
      </c>
      <c r="E18" s="61"/>
      <c r="F18" s="61" t="s">
        <v>48</v>
      </c>
      <c r="G18" s="62"/>
      <c r="H18" s="62"/>
      <c r="I18" s="62"/>
      <c r="J18" s="55"/>
    </row>
    <row r="19" customFormat="false" ht="40.65" hidden="false" customHeight="false" outlineLevel="0" collapsed="false">
      <c r="A19" s="53"/>
      <c r="B19" s="7" t="s">
        <v>134</v>
      </c>
      <c r="C19" s="68" t="n">
        <f aca="false">1.4*C11</f>
        <v>9.8</v>
      </c>
      <c r="D19" s="64" t="s">
        <v>16</v>
      </c>
      <c r="E19" s="53"/>
      <c r="F19" s="65" t="s">
        <v>185</v>
      </c>
      <c r="G19" s="53"/>
      <c r="H19" s="53"/>
      <c r="I19" s="53"/>
      <c r="J19" s="55"/>
    </row>
    <row r="20" customFormat="false" ht="15" hidden="false" customHeight="false" outlineLevel="0" collapsed="false">
      <c r="A20" s="53"/>
      <c r="B20" s="7" t="s">
        <v>136</v>
      </c>
      <c r="C20" s="68" t="n">
        <f aca="false">2*PI()*C19*1000000</f>
        <v>61575216.0103599</v>
      </c>
      <c r="D20" s="64" t="s">
        <v>50</v>
      </c>
      <c r="E20" s="53"/>
      <c r="F20" s="53"/>
      <c r="G20" s="53"/>
      <c r="H20" s="53"/>
      <c r="I20" s="53"/>
      <c r="J20" s="55"/>
    </row>
    <row r="21" customFormat="false" ht="53.7" hidden="false" customHeight="false" outlineLevel="0" collapsed="false">
      <c r="A21" s="53"/>
      <c r="B21" s="7" t="s">
        <v>186</v>
      </c>
      <c r="C21" s="68" t="n">
        <f aca="false">IF(NOT(ISNUMBER(C12)),"⚠ R_opt invalid — fix QL on main sheet first",C13/C12)</f>
        <v>1.54850430353419</v>
      </c>
      <c r="D21" s="64" t="s">
        <v>18</v>
      </c>
      <c r="E21" s="53"/>
      <c r="F21" s="65" t="s">
        <v>187</v>
      </c>
      <c r="G21" s="53"/>
      <c r="H21" s="53"/>
      <c r="I21" s="53"/>
      <c r="J21" s="55"/>
    </row>
    <row r="22" customFormat="false" ht="79.85" hidden="false" customHeight="false" outlineLevel="0" collapsed="false">
      <c r="A22" s="53"/>
      <c r="B22" s="7" t="s">
        <v>188</v>
      </c>
      <c r="C22" s="69" t="n">
        <f aca="false">IF(NOT(ISNUMBER(C12)),"⚠ R_opt invalid — fix QL on main sheet first",SQRT(C12*C13))</f>
        <v>40.1803574527598</v>
      </c>
      <c r="D22" s="64" t="s">
        <v>22</v>
      </c>
      <c r="E22" s="53"/>
      <c r="F22" s="65" t="s">
        <v>189</v>
      </c>
      <c r="G22" s="53"/>
      <c r="H22" s="53"/>
      <c r="I22" s="53"/>
      <c r="J22" s="55"/>
    </row>
    <row r="23" customFormat="false" ht="132.05" hidden="false" customHeight="false" outlineLevel="0" collapsed="false">
      <c r="A23" s="53"/>
      <c r="B23" s="7" t="s">
        <v>190</v>
      </c>
      <c r="C23" s="70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64" t="s">
        <v>12</v>
      </c>
      <c r="E23" s="53"/>
      <c r="F23" s="65" t="s">
        <v>191</v>
      </c>
      <c r="G23" s="53"/>
      <c r="H23" s="53"/>
      <c r="I23" s="53"/>
      <c r="J23" s="55"/>
    </row>
    <row r="24" customFormat="false" ht="40.65" hidden="false" customHeight="false" outlineLevel="0" collapsed="false">
      <c r="A24" s="53"/>
      <c r="B24" s="7" t="s">
        <v>192</v>
      </c>
      <c r="C24" s="69" t="n">
        <f aca="false">SQRT(C15/C13)</f>
        <v>0.0894427190999916</v>
      </c>
      <c r="D24" s="64" t="s">
        <v>55</v>
      </c>
      <c r="E24" s="53"/>
      <c r="F24" s="65" t="s">
        <v>193</v>
      </c>
      <c r="G24" s="53"/>
      <c r="H24" s="53"/>
      <c r="I24" s="53"/>
      <c r="J24" s="55"/>
    </row>
    <row r="25" customFormat="false" ht="15" hidden="false" customHeight="false" outlineLevel="0" collapsed="false">
      <c r="A25" s="53"/>
      <c r="B25" s="66"/>
      <c r="C25" s="67"/>
      <c r="D25" s="54"/>
      <c r="E25" s="53"/>
      <c r="F25" s="53"/>
      <c r="G25" s="53"/>
      <c r="H25" s="53"/>
      <c r="I25" s="53"/>
      <c r="J25" s="55"/>
    </row>
    <row r="26" customFormat="false" ht="29.85" hidden="false" customHeight="false" outlineLevel="0" collapsed="false">
      <c r="A26" s="53"/>
      <c r="B26" s="36" t="s">
        <v>194</v>
      </c>
      <c r="C26" s="67"/>
      <c r="D26" s="54"/>
      <c r="E26" s="53"/>
      <c r="F26" s="55"/>
      <c r="G26" s="53"/>
      <c r="H26" s="53"/>
      <c r="I26" s="53"/>
      <c r="J26" s="55"/>
    </row>
    <row r="27" customFormat="false" ht="15" hidden="false" customHeight="false" outlineLevel="0" collapsed="false">
      <c r="A27" s="53"/>
      <c r="B27" s="42" t="s">
        <v>8</v>
      </c>
      <c r="C27" s="60" t="s">
        <v>9</v>
      </c>
      <c r="D27" s="61" t="s">
        <v>10</v>
      </c>
      <c r="E27" s="61" t="s">
        <v>60</v>
      </c>
      <c r="F27" s="61" t="s">
        <v>48</v>
      </c>
      <c r="G27" s="62"/>
      <c r="H27" s="62"/>
      <c r="I27" s="62"/>
      <c r="J27" s="55"/>
    </row>
    <row r="28" customFormat="false" ht="40.65" hidden="false" customHeight="false" outlineLevel="0" collapsed="false">
      <c r="A28" s="53"/>
      <c r="B28" s="7" t="s">
        <v>195</v>
      </c>
      <c r="C28" s="69" t="n">
        <f aca="false">IF(NOT(ISNUMBER(C12)),"⚠ R_opt invalid — fix QL on main sheet first",IF(ISNUMBER(C21),IF(C21&gt;3,"⚠ n&gt;3: Use L-network + 50Ω LPF",1.1468*C22/C20),"⚠ n invalid"))</f>
        <v>7.48334101159665E-007</v>
      </c>
      <c r="D28" s="64" t="s">
        <v>67</v>
      </c>
      <c r="E28" s="53"/>
      <c r="F28" s="65" t="s">
        <v>196</v>
      </c>
      <c r="G28" s="53"/>
      <c r="H28" s="53"/>
      <c r="I28" s="53"/>
      <c r="J28" s="55"/>
    </row>
    <row r="29" customFormat="false" ht="15" hidden="false" customHeight="false" outlineLevel="0" collapsed="false">
      <c r="A29" s="53"/>
      <c r="B29" s="7" t="s">
        <v>141</v>
      </c>
      <c r="C29" s="69" t="n">
        <f aca="false">IF(ISNUMBER(C28),C28*1000000,C28)</f>
        <v>0.748334101159666</v>
      </c>
      <c r="D29" s="64" t="s">
        <v>70</v>
      </c>
      <c r="E29" s="64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0.75 µH</v>
      </c>
      <c r="F29" s="53"/>
      <c r="G29" s="53"/>
      <c r="H29" s="53"/>
      <c r="I29" s="53"/>
      <c r="J29" s="55"/>
    </row>
    <row r="30" customFormat="false" ht="53.7" hidden="false" customHeight="false" outlineLevel="0" collapsed="false">
      <c r="A30" s="53"/>
      <c r="B30" s="7" t="s">
        <v>197</v>
      </c>
      <c r="C30" s="69" t="n">
        <f aca="false">IF(NOT(ISNUMBER(C12)),"⚠ R_opt invalid — fix QL on main sheet first",IF(C21&gt;3,"⚠ n&gt;3: Use L-network + 50Ω LPF",1.3712/(C12*C20)))</f>
        <v>6.8966354925944E-010</v>
      </c>
      <c r="D30" s="64" t="s">
        <v>62</v>
      </c>
      <c r="E30" s="53"/>
      <c r="F30" s="65" t="s">
        <v>198</v>
      </c>
      <c r="G30" s="53"/>
      <c r="H30" s="53"/>
      <c r="I30" s="53"/>
      <c r="J30" s="55"/>
    </row>
    <row r="31" customFormat="false" ht="15" hidden="false" customHeight="false" outlineLevel="0" collapsed="false">
      <c r="A31" s="53"/>
      <c r="B31" s="7" t="s">
        <v>144</v>
      </c>
      <c r="C31" s="69" t="n">
        <f aca="false">IF(ISNUMBER(C30),C30*1000000000000,C30)</f>
        <v>689.66354925944</v>
      </c>
      <c r="D31" s="64" t="s">
        <v>30</v>
      </c>
      <c r="E31" s="64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680 pF</v>
      </c>
      <c r="F31" s="53"/>
      <c r="G31" s="53"/>
      <c r="H31" s="53"/>
      <c r="I31" s="53"/>
      <c r="J31" s="55"/>
    </row>
    <row r="32" customFormat="false" ht="27.6" hidden="false" customHeight="false" outlineLevel="0" collapsed="false">
      <c r="A32" s="53"/>
      <c r="B32" s="7" t="s">
        <v>199</v>
      </c>
      <c r="C32" s="69" t="n">
        <f aca="false">IF(NOT(ISNUMBER(C12)),"⚠ R_opt invalid — fix QL on main sheet first",IF(ISNUMBER(C21),IF(C21&gt;3,"⚠ n&gt;3: Use L-network + 50Ω LPF",1.975*C22/C20),"⚠ n invalid"))</f>
        <v>1.28876861683845E-006</v>
      </c>
      <c r="D32" s="64" t="s">
        <v>67</v>
      </c>
      <c r="E32" s="53"/>
      <c r="F32" s="65" t="s">
        <v>200</v>
      </c>
      <c r="G32" s="53"/>
      <c r="H32" s="53"/>
      <c r="I32" s="53"/>
      <c r="J32" s="55"/>
    </row>
    <row r="33" customFormat="false" ht="15" hidden="false" customHeight="false" outlineLevel="0" collapsed="false">
      <c r="A33" s="53"/>
      <c r="B33" s="7" t="s">
        <v>147</v>
      </c>
      <c r="C33" s="69" t="n">
        <f aca="false">IF(ISNUMBER(C32),C32*1000000,C32)</f>
        <v>1.28876861683845</v>
      </c>
      <c r="D33" s="64" t="s">
        <v>70</v>
      </c>
      <c r="E33" s="64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1.3 µH</v>
      </c>
      <c r="F33" s="53"/>
      <c r="G33" s="53"/>
      <c r="H33" s="53"/>
      <c r="I33" s="53"/>
      <c r="J33" s="55"/>
    </row>
    <row r="34" customFormat="false" ht="53.7" hidden="false" customHeight="false" outlineLevel="0" collapsed="false">
      <c r="A34" s="53"/>
      <c r="B34" s="7" t="s">
        <v>201</v>
      </c>
      <c r="C34" s="69" t="n">
        <f aca="false">IF(NOT(ISNUMBER(C12)),"⚠ R_opt invalid — fix QL on main sheet first",IF(NOT(ISNUMBER(C21)),"⚠ n invalid",IF(C21&gt;3,"⚠ n&gt;3: Use L-network + 50Ω LPF",1.3712/(C13*C20))))</f>
        <v>4.45373995852259E-010</v>
      </c>
      <c r="D34" s="64" t="s">
        <v>62</v>
      </c>
      <c r="E34" s="53"/>
      <c r="F34" s="65" t="s">
        <v>202</v>
      </c>
      <c r="G34" s="53"/>
      <c r="H34" s="53"/>
      <c r="I34" s="53"/>
      <c r="J34" s="55"/>
    </row>
    <row r="35" customFormat="false" ht="15" hidden="false" customHeight="false" outlineLevel="0" collapsed="false">
      <c r="A35" s="53"/>
      <c r="B35" s="7" t="s">
        <v>150</v>
      </c>
      <c r="C35" s="69" t="n">
        <f aca="false">IF(ISNUMBER(C34),C34*1000000000000,C34)</f>
        <v>445.373995852259</v>
      </c>
      <c r="D35" s="64" t="s">
        <v>30</v>
      </c>
      <c r="E35" s="64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430 pF</v>
      </c>
      <c r="F35" s="53"/>
      <c r="G35" s="53"/>
      <c r="H35" s="53"/>
      <c r="I35" s="53"/>
      <c r="J35" s="55"/>
    </row>
    <row r="36" customFormat="false" ht="53.7" hidden="false" customHeight="false" outlineLevel="0" collapsed="false">
      <c r="A36" s="53"/>
      <c r="B36" s="7" t="s">
        <v>203</v>
      </c>
      <c r="C36" s="69" t="n">
        <f aca="false">IF(NOT(ISNUMBER(C12)),"⚠ R_opt invalid — fix QL on main sheet first",IF(ISNUMBER(C21),IF(C21&gt;3,"⚠ n&gt;3: Use L-network + 50Ω LPF",1.1468*C22/C20),"⚠ n invalid"))</f>
        <v>7.48334101159665E-007</v>
      </c>
      <c r="D36" s="64" t="s">
        <v>67</v>
      </c>
      <c r="E36" s="53"/>
      <c r="F36" s="65" t="s">
        <v>204</v>
      </c>
      <c r="G36" s="53"/>
      <c r="H36" s="53"/>
      <c r="I36" s="53"/>
      <c r="J36" s="55"/>
    </row>
    <row r="37" customFormat="false" ht="15" hidden="false" customHeight="false" outlineLevel="0" collapsed="false">
      <c r="A37" s="53"/>
      <c r="B37" s="7" t="s">
        <v>153</v>
      </c>
      <c r="C37" s="69" t="n">
        <f aca="false">IF(ISNUMBER(C36),C36*1000000,C36)</f>
        <v>0.748334101159666</v>
      </c>
      <c r="D37" s="64" t="s">
        <v>70</v>
      </c>
      <c r="E37" s="64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0.75 µH</v>
      </c>
      <c r="F37" s="53"/>
      <c r="G37" s="53"/>
      <c r="H37" s="53"/>
      <c r="I37" s="53"/>
      <c r="J37" s="55"/>
    </row>
    <row r="38" customFormat="false" ht="15" hidden="false" customHeight="false" outlineLevel="0" collapsed="false">
      <c r="A38" s="53"/>
      <c r="B38" s="66"/>
      <c r="C38" s="67"/>
      <c r="D38" s="54"/>
      <c r="E38" s="53"/>
      <c r="F38" s="53"/>
      <c r="G38" s="53"/>
      <c r="H38" s="53"/>
      <c r="I38" s="53"/>
      <c r="J38" s="55"/>
    </row>
    <row r="39" customFormat="false" ht="15.65" hidden="false" customHeight="false" outlineLevel="0" collapsed="false">
      <c r="A39" s="53"/>
      <c r="B39" s="36" t="s">
        <v>112</v>
      </c>
      <c r="C39" s="67"/>
      <c r="D39" s="54"/>
      <c r="E39" s="53"/>
      <c r="F39" s="53"/>
      <c r="G39" s="53"/>
      <c r="H39" s="53"/>
      <c r="I39" s="53"/>
      <c r="J39" s="55"/>
    </row>
    <row r="40" customFormat="false" ht="15" hidden="false" customHeight="false" outlineLevel="0" collapsed="false">
      <c r="A40" s="53"/>
      <c r="B40" s="42" t="s">
        <v>8</v>
      </c>
      <c r="C40" s="60" t="s">
        <v>9</v>
      </c>
      <c r="D40" s="61" t="s">
        <v>10</v>
      </c>
      <c r="E40" s="61"/>
      <c r="F40" s="61" t="s">
        <v>48</v>
      </c>
      <c r="G40" s="62"/>
      <c r="H40" s="62"/>
      <c r="I40" s="62"/>
      <c r="J40" s="55"/>
    </row>
    <row r="41" customFormat="false" ht="145.1" hidden="false" customHeight="false" outlineLevel="0" collapsed="false">
      <c r="A41" s="53"/>
      <c r="B41" s="7" t="s">
        <v>205</v>
      </c>
      <c r="C41" s="69" t="n">
        <f aca="false">-10*LOG10((1+(10^(0.1/10)-1)*(16*(2*C11/C19)^5-20*(2*C11/C19)^3+5*(2*C11/C19))^2)/(1+(10^(0.1/10)-1)*(16*(C11/C19)^5-20*(C11/C19)^3+5*(C11/C19))^2))</f>
        <v>-16.5874077706108</v>
      </c>
      <c r="D41" s="64" t="s">
        <v>155</v>
      </c>
      <c r="E41" s="64" t="str">
        <f aca="false">IF(C41&lt;-50,"✅ UPPER BOUND ≥−50 dBc (see I41 for worst-case asymmetric estimate)",IF(C41&lt;-43,"⚠ UPPER BOUND ≥−43 dBc (FCC only; see I41)","🚨 Fails FCC −43 dBc even as upper bound (see I41)"))</f>
        <v>🚨 Fails FCC −43 dBc even as upper bound (see I41)</v>
      </c>
      <c r="F41" s="65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53"/>
      <c r="H41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C41/C42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1" s="33" t="str">
        <f aca="false">IF(ABS(C21-1)&gt;0.05, "Lower-bound estimate (worst-case asymmetric): "&amp;TEXT(C41+20,"0.0")&amp;" dBc at 2f (assumes up to 20 dB penalty for n="&amp;TEXT(C21,"0.00")&amp;"×). "&amp;IF(C41+20&lt;-50,"✅ Even worst-case meets IARU -50 dBc.",IF(C41+20&lt;-43,"⚠ Worst-case meets FCC -43 dBc only — verify with LTspice.","🚨 Worst-case may fail FCC -43 dBc. Reduce fc or increase poles.")), "— (n≈1, penalty small)")</f>
        <v>Lower-bound estimate (worst-case asymmetric): 3.4 dBc at 2f (assumes up to 20 dB penalty for n=1.55×). 🚨 Worst-case may fail FCC -43 dBc. Reduce fc or increase poles.</v>
      </c>
      <c r="J41" s="55"/>
    </row>
    <row r="42" customFormat="false" ht="145.1" hidden="false" customHeight="false" outlineLevel="0" collapsed="false">
      <c r="A42" s="53"/>
      <c r="B42" s="7" t="s">
        <v>206</v>
      </c>
      <c r="C42" s="69" t="n">
        <f aca="false">-10*LOG10((1+(10^(0.1/10)-1)*(16*(3*C11/C19)^5-20*(3*C11/C19)^3+5*(3*C11/C19))^2)/(1+(10^(0.1/10)-1)*(16*(C11/C19)^5-20*(C11/C19)^3+5*(C11/C19))^2))</f>
        <v>-38.2143276045362</v>
      </c>
      <c r="D42" s="64" t="s">
        <v>155</v>
      </c>
      <c r="E42" s="64" t="str">
        <f aca="false">IF(C42&lt;-50,"✅ UPPER BOUND ≥−50 dBc at 3f (see I42)",IF(C42&lt;-43,"⚠ UPPER BOUND ≥−43 dBc FCC only (see I42)","🚨 Fails FCC −43 dBc at 3f (upper bound; see I42)"))</f>
        <v>🚨 Fails FCC −43 dBc at 3f (upper bound; see I42)</v>
      </c>
      <c r="F42" s="65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53"/>
      <c r="H42" s="33" t="str">
        <f aca="false">H41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2" s="33" t="str">
        <f aca="false">IF(ABS(C21-1)&gt;0.05, "Lower-bound estimate (worst-case asymmetric): "&amp;TEXT(C42+20,"0.0")&amp;" dBc at 3f.", "—")</f>
        <v>Lower-bound estimate (worst-case asymmetric): -18.2 dBc at 3f.</v>
      </c>
      <c r="J42" s="55"/>
    </row>
    <row r="43" customFormat="false" ht="66.75" hidden="false" customHeight="false" outlineLevel="0" collapsed="false">
      <c r="A43" s="53"/>
      <c r="B43" s="7" t="s">
        <v>157</v>
      </c>
      <c r="C43" s="71"/>
      <c r="D43" s="54"/>
      <c r="E43" s="53"/>
      <c r="F43" s="65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53"/>
      <c r="H43" s="53"/>
      <c r="I43" s="53"/>
      <c r="J43" s="55"/>
    </row>
    <row r="44" customFormat="false" ht="15" hidden="false" customHeight="false" outlineLevel="0" collapsed="false">
      <c r="A44" s="53"/>
      <c r="B44" s="53"/>
      <c r="C44" s="53"/>
      <c r="D44" s="54"/>
      <c r="E44" s="53"/>
      <c r="F44" s="53"/>
      <c r="G44" s="53"/>
      <c r="H44" s="53"/>
      <c r="I44" s="53"/>
      <c r="J44" s="55"/>
    </row>
    <row r="45" customFormat="false" ht="15" hidden="false" customHeight="false" outlineLevel="0" collapsed="false">
      <c r="B45" s="72"/>
    </row>
    <row r="46" customFormat="false" ht="15" hidden="false" customHeight="false" outlineLevel="0" collapsed="false">
      <c r="B46" s="73"/>
    </row>
    <row r="47" customFormat="false" ht="15" hidden="false" customHeight="false" outlineLevel="0" collapsed="false">
      <c r="B47" s="73"/>
    </row>
    <row r="48" customFormat="false" ht="15" hidden="false" customHeight="false" outlineLevel="0" collapsed="false">
      <c r="B48" s="73"/>
    </row>
    <row r="49" customFormat="false" ht="15" hidden="false" customHeight="false" outlineLevel="0" collapsed="false">
      <c r="B49" s="73"/>
    </row>
    <row r="50" customFormat="false" ht="15" hidden="false" customHeight="false" outlineLevel="0" collapsed="false">
      <c r="B50" s="73"/>
    </row>
    <row r="51" customFormat="false" ht="15" hidden="false" customHeight="false" outlineLevel="0" collapsed="false">
      <c r="B51" s="7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13" activeCellId="0" sqref="F1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4" width="2.55"/>
    <col collapsed="false" customWidth="true" hidden="false" outlineLevel="0" max="2" min="2" style="74" width="81.39"/>
    <col collapsed="false" customWidth="true" hidden="false" outlineLevel="0" max="3" min="3" style="74" width="14.72"/>
    <col collapsed="false" customWidth="true" hidden="false" outlineLevel="0" max="4" min="4" style="74" width="6.25"/>
    <col collapsed="false" customWidth="true" hidden="false" outlineLevel="0" max="5" min="5" style="74" width="11.53"/>
    <col collapsed="false" customWidth="true" hidden="false" outlineLevel="0" max="6" min="6" style="74" width="34.25"/>
    <col collapsed="false" customWidth="true" hidden="false" outlineLevel="0" max="7" min="7" style="74" width="2.55"/>
    <col collapsed="false" customWidth="true" hidden="false" outlineLevel="0" max="8" min="8" style="74" width="66.15"/>
    <col collapsed="false" customWidth="true" hidden="false" outlineLevel="0" max="9" min="9" style="74" width="35.96"/>
    <col collapsed="false" customWidth="true" hidden="false" outlineLevel="0" max="10" min="10" style="74" width="2.55"/>
    <col collapsed="false" customWidth="false" hidden="false" outlineLevel="0" max="16383" min="12" style="74" width="8.68"/>
    <col collapsed="false" customWidth="true" hidden="false" outlineLevel="0" max="16384" min="16384" style="74" width="11.53"/>
  </cols>
  <sheetData>
    <row r="1" customFormat="false" ht="15" hidden="false" customHeight="false" outlineLevel="0" collapsed="false">
      <c r="A1" s="75"/>
      <c r="B1" s="75"/>
      <c r="C1" s="75"/>
      <c r="D1" s="75"/>
      <c r="E1" s="75"/>
      <c r="F1" s="75"/>
      <c r="G1" s="75"/>
      <c r="H1" s="75"/>
      <c r="I1" s="75"/>
      <c r="J1" s="75"/>
    </row>
    <row r="2" customFormat="false" ht="15" hidden="false" customHeight="false" outlineLevel="0" collapsed="false">
      <c r="A2" s="75"/>
      <c r="B2" s="65" t="s">
        <v>207</v>
      </c>
      <c r="C2" s="75"/>
      <c r="D2" s="75"/>
      <c r="E2" s="75"/>
      <c r="F2" s="75"/>
      <c r="G2" s="75"/>
      <c r="H2" s="75"/>
      <c r="I2" s="75"/>
      <c r="J2" s="75"/>
    </row>
    <row r="3" customFormat="false" ht="15" hidden="false" customHeight="false" outlineLevel="0" collapsed="false">
      <c r="A3" s="75"/>
      <c r="B3" s="75"/>
      <c r="C3" s="75"/>
      <c r="D3" s="75"/>
      <c r="E3" s="75"/>
      <c r="F3" s="75"/>
      <c r="G3" s="75"/>
      <c r="H3" s="75"/>
      <c r="I3" s="75"/>
      <c r="J3" s="75"/>
    </row>
    <row r="4" customFormat="false" ht="50.7" hidden="false" customHeight="false" outlineLevel="0" collapsed="false">
      <c r="A4" s="75"/>
      <c r="B4" s="76" t="s">
        <v>208</v>
      </c>
      <c r="C4" s="75"/>
      <c r="D4" s="75"/>
      <c r="E4" s="75"/>
      <c r="F4" s="75"/>
      <c r="G4" s="75"/>
      <c r="H4" s="75"/>
      <c r="I4" s="75"/>
      <c r="J4" s="75"/>
    </row>
    <row r="5" customFormat="false" ht="15" hidden="false" customHeight="false" outlineLevel="0" collapsed="false">
      <c r="A5" s="75"/>
      <c r="B5" s="77" t="s">
        <v>2</v>
      </c>
      <c r="C5" s="75"/>
      <c r="D5" s="75"/>
      <c r="E5" s="75"/>
      <c r="F5" s="75"/>
      <c r="G5" s="75"/>
      <c r="H5" s="75"/>
      <c r="I5" s="75"/>
      <c r="J5" s="75"/>
    </row>
    <row r="6" customFormat="false" ht="15" hidden="false" customHeight="false" outlineLevel="0" collapsed="false">
      <c r="A6" s="75"/>
      <c r="B6" s="78"/>
      <c r="C6" s="75"/>
      <c r="D6" s="75"/>
      <c r="E6" s="75"/>
      <c r="F6" s="75"/>
      <c r="G6" s="75"/>
      <c r="H6" s="75"/>
      <c r="I6" s="75"/>
      <c r="J6" s="75"/>
    </row>
    <row r="7" customFormat="false" ht="87.65" hidden="false" customHeight="false" outlineLevel="0" collapsed="false">
      <c r="A7" s="75"/>
      <c r="B7" s="76" t="s">
        <v>209</v>
      </c>
      <c r="C7" s="75"/>
      <c r="D7" s="75"/>
      <c r="E7" s="75"/>
      <c r="F7" s="75"/>
      <c r="G7" s="75"/>
      <c r="H7" s="75"/>
      <c r="I7" s="75"/>
      <c r="J7" s="75"/>
    </row>
    <row r="8" customFormat="false" ht="15" hidden="false" customHeight="false" outlineLevel="0" collapsed="false">
      <c r="A8" s="75"/>
      <c r="B8" s="75"/>
      <c r="C8" s="75"/>
      <c r="D8" s="75"/>
      <c r="E8" s="75"/>
      <c r="F8" s="75"/>
      <c r="G8" s="75"/>
      <c r="H8" s="75"/>
      <c r="I8" s="75"/>
      <c r="J8" s="75"/>
    </row>
    <row r="9" customFormat="false" ht="15" hidden="false" customHeight="false" outlineLevel="0" collapsed="false">
      <c r="A9" s="75"/>
      <c r="B9" s="65" t="s">
        <v>174</v>
      </c>
      <c r="C9" s="75"/>
      <c r="D9" s="75"/>
      <c r="E9" s="75"/>
      <c r="F9" s="75"/>
      <c r="G9" s="75"/>
      <c r="H9" s="75"/>
      <c r="I9" s="75"/>
      <c r="J9" s="75"/>
    </row>
    <row r="10" customFormat="false" ht="15" hidden="false" customHeight="false" outlineLevel="0" collapsed="false">
      <c r="A10" s="75"/>
      <c r="B10" s="79" t="s">
        <v>8</v>
      </c>
      <c r="C10" s="80" t="s">
        <v>9</v>
      </c>
      <c r="D10" s="81" t="s">
        <v>10</v>
      </c>
      <c r="E10" s="82"/>
      <c r="F10" s="81" t="s">
        <v>48</v>
      </c>
      <c r="G10" s="82"/>
      <c r="H10" s="82"/>
      <c r="I10" s="82"/>
      <c r="J10" s="75"/>
    </row>
    <row r="11" customFormat="false" ht="27.6" hidden="false" customHeight="false" outlineLevel="0" collapsed="false">
      <c r="A11" s="75"/>
      <c r="B11" s="83" t="s">
        <v>175</v>
      </c>
      <c r="C11" s="84" t="n">
        <f aca="false">'Class-E Calculator'!C18</f>
        <v>7</v>
      </c>
      <c r="D11" s="65" t="s">
        <v>16</v>
      </c>
      <c r="E11" s="75"/>
      <c r="F11" s="65" t="s">
        <v>176</v>
      </c>
      <c r="G11" s="75"/>
      <c r="H11" s="75"/>
      <c r="I11" s="75"/>
      <c r="J11" s="75"/>
    </row>
    <row r="12" customFormat="false" ht="66.75" hidden="false" customHeight="false" outlineLevel="0" collapsed="false">
      <c r="A12" s="75"/>
      <c r="B12" s="83" t="s">
        <v>177</v>
      </c>
      <c r="C12" s="84" t="n">
        <f aca="false">'Class-E Calculator'!C42</f>
        <v>32.289222500631</v>
      </c>
      <c r="D12" s="65" t="s">
        <v>22</v>
      </c>
      <c r="E12" s="75"/>
      <c r="F12" s="65" t="s">
        <v>178</v>
      </c>
      <c r="G12" s="75"/>
      <c r="H12" s="75"/>
      <c r="I12" s="75"/>
      <c r="J12" s="75"/>
    </row>
    <row r="13" customFormat="false" ht="27.6" hidden="false" customHeight="false" outlineLevel="0" collapsed="false">
      <c r="A13" s="75"/>
      <c r="B13" s="83" t="s">
        <v>179</v>
      </c>
      <c r="C13" s="84" t="n">
        <f aca="false">'Class-E Calculator'!C25</f>
        <v>50</v>
      </c>
      <c r="D13" s="65" t="s">
        <v>22</v>
      </c>
      <c r="E13" s="75"/>
      <c r="F13" s="65" t="s">
        <v>180</v>
      </c>
      <c r="G13" s="75"/>
      <c r="H13" s="75"/>
      <c r="I13" s="75"/>
      <c r="J13" s="75"/>
    </row>
    <row r="14" customFormat="false" ht="27.6" hidden="false" customHeight="false" outlineLevel="0" collapsed="false">
      <c r="A14" s="75"/>
      <c r="B14" s="83" t="s">
        <v>181</v>
      </c>
      <c r="C14" s="84" t="n">
        <f aca="false">'Class-E Calculator'!C16</f>
        <v>5</v>
      </c>
      <c r="D14" s="65" t="s">
        <v>12</v>
      </c>
      <c r="E14" s="75"/>
      <c r="F14" s="65" t="s">
        <v>182</v>
      </c>
      <c r="G14" s="75"/>
      <c r="H14" s="75"/>
      <c r="I14" s="75"/>
      <c r="J14" s="75"/>
    </row>
    <row r="15" customFormat="false" ht="15" hidden="false" customHeight="false" outlineLevel="0" collapsed="false">
      <c r="A15" s="75"/>
      <c r="B15" s="83" t="s">
        <v>183</v>
      </c>
      <c r="C15" s="84" t="n">
        <f aca="false">'Class-E Calculator'!C17</f>
        <v>0.4</v>
      </c>
      <c r="D15" s="65" t="s">
        <v>14</v>
      </c>
      <c r="E15" s="75"/>
      <c r="F15" s="65" t="s">
        <v>184</v>
      </c>
      <c r="G15" s="75"/>
      <c r="H15" s="75"/>
      <c r="I15" s="75"/>
      <c r="J15" s="75"/>
    </row>
    <row r="16" customFormat="false" ht="15" hidden="false" customHeight="false" outlineLevel="0" collapsed="false">
      <c r="A16" s="75"/>
      <c r="B16" s="75"/>
      <c r="C16" s="85"/>
      <c r="D16" s="75"/>
      <c r="E16" s="75"/>
      <c r="F16" s="75"/>
      <c r="G16" s="75"/>
      <c r="H16" s="75"/>
      <c r="I16" s="75"/>
      <c r="J16" s="75"/>
    </row>
    <row r="17" customFormat="false" ht="27.6" hidden="false" customHeight="false" outlineLevel="0" collapsed="false">
      <c r="A17" s="75"/>
      <c r="B17" s="65" t="s">
        <v>47</v>
      </c>
      <c r="C17" s="85"/>
      <c r="D17" s="75"/>
      <c r="E17" s="75"/>
      <c r="F17" s="65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75"/>
      <c r="H17" s="75"/>
      <c r="I17" s="75"/>
      <c r="J17" s="75"/>
    </row>
    <row r="18" customFormat="false" ht="15" hidden="false" customHeight="false" outlineLevel="0" collapsed="false">
      <c r="A18" s="75"/>
      <c r="B18" s="79" t="s">
        <v>8</v>
      </c>
      <c r="C18" s="80" t="s">
        <v>9</v>
      </c>
      <c r="D18" s="81" t="s">
        <v>10</v>
      </c>
      <c r="E18" s="82"/>
      <c r="F18" s="81" t="s">
        <v>48</v>
      </c>
      <c r="G18" s="82"/>
      <c r="H18" s="82"/>
      <c r="I18" s="82"/>
      <c r="J18" s="75"/>
    </row>
    <row r="19" customFormat="false" ht="40.65" hidden="false" customHeight="false" outlineLevel="0" collapsed="false">
      <c r="A19" s="75"/>
      <c r="B19" s="83" t="s">
        <v>134</v>
      </c>
      <c r="C19" s="86" t="n">
        <f aca="false">1.4*C11</f>
        <v>9.8</v>
      </c>
      <c r="D19" s="65" t="s">
        <v>16</v>
      </c>
      <c r="E19" s="75"/>
      <c r="F19" s="65" t="s">
        <v>185</v>
      </c>
      <c r="G19" s="75"/>
      <c r="H19" s="75"/>
      <c r="I19" s="75"/>
      <c r="J19" s="75"/>
    </row>
    <row r="20" customFormat="false" ht="15" hidden="false" customHeight="false" outlineLevel="0" collapsed="false">
      <c r="A20" s="75"/>
      <c r="B20" s="83" t="s">
        <v>136</v>
      </c>
      <c r="C20" s="86" t="n">
        <f aca="false">2*PI()*C19*1000000</f>
        <v>61575216.0103599</v>
      </c>
      <c r="D20" s="65" t="s">
        <v>50</v>
      </c>
      <c r="E20" s="75"/>
      <c r="F20" s="75"/>
      <c r="G20" s="75"/>
      <c r="H20" s="75"/>
      <c r="I20" s="75"/>
      <c r="J20" s="75"/>
    </row>
    <row r="21" customFormat="false" ht="79.85" hidden="false" customHeight="false" outlineLevel="0" collapsed="false">
      <c r="A21" s="75"/>
      <c r="B21" s="83" t="s">
        <v>186</v>
      </c>
      <c r="C21" s="86" t="n">
        <f aca="false">IF(NOT(ISNUMBER(C12)),"⚠ R_opt invalid — fix QL on main sheet first",C13/C12)</f>
        <v>1.54850430353419</v>
      </c>
      <c r="D21" s="65" t="s">
        <v>18</v>
      </c>
      <c r="E21" s="75"/>
      <c r="F21" s="65" t="s">
        <v>210</v>
      </c>
      <c r="G21" s="75"/>
      <c r="H21" s="75"/>
      <c r="I21" s="75"/>
      <c r="J21" s="75"/>
    </row>
    <row r="22" customFormat="false" ht="79.85" hidden="false" customHeight="false" outlineLevel="0" collapsed="false">
      <c r="A22" s="75"/>
      <c r="B22" s="83" t="s">
        <v>188</v>
      </c>
      <c r="C22" s="86" t="n">
        <f aca="false">IF(NOT(ISNUMBER(C12)),"⚠ R_opt invalid — fix QL on main sheet first",SQRT(C12*C13))</f>
        <v>40.1803574527598</v>
      </c>
      <c r="D22" s="65" t="s">
        <v>22</v>
      </c>
      <c r="E22" s="75"/>
      <c r="F22" s="65" t="s">
        <v>211</v>
      </c>
      <c r="G22" s="75"/>
      <c r="H22" s="75"/>
      <c r="I22" s="75"/>
      <c r="J22" s="75"/>
    </row>
    <row r="23" customFormat="false" ht="171.25" hidden="false" customHeight="false" outlineLevel="0" collapsed="false">
      <c r="A23" s="75"/>
      <c r="B23" s="83" t="s">
        <v>190</v>
      </c>
      <c r="C23" s="86" t="n">
        <f aca="false">MAX(3.562*('Class-E Calculator'!C16-'Class-E Calculator'!C35-'Class-E Calculator'!C20)+'Class-E Calculator'!C20,3.562*('Class-E Calculator'!C16-'Class-E Calculator'!C20)+'Class-E Calculator'!C20)</f>
        <v>17.81</v>
      </c>
      <c r="D23" s="65" t="s">
        <v>12</v>
      </c>
      <c r="E23" s="75"/>
      <c r="F23" s="65" t="s">
        <v>191</v>
      </c>
      <c r="G23" s="75"/>
      <c r="H23" s="75"/>
      <c r="I23" s="75"/>
      <c r="J23" s="75"/>
    </row>
    <row r="24" customFormat="false" ht="53.7" hidden="false" customHeight="false" outlineLevel="0" collapsed="false">
      <c r="A24" s="75"/>
      <c r="B24" s="83" t="s">
        <v>192</v>
      </c>
      <c r="C24" s="86" t="n">
        <f aca="false">SQRT(C15/C13)</f>
        <v>0.0894427190999916</v>
      </c>
      <c r="D24" s="65" t="s">
        <v>55</v>
      </c>
      <c r="E24" s="75"/>
      <c r="F24" s="65" t="s">
        <v>212</v>
      </c>
      <c r="G24" s="75"/>
      <c r="H24" s="75"/>
      <c r="I24" s="75"/>
      <c r="J24" s="75"/>
    </row>
    <row r="25" customFormat="false" ht="15" hidden="false" customHeight="false" outlineLevel="0" collapsed="false">
      <c r="A25" s="75"/>
      <c r="B25" s="75"/>
      <c r="C25" s="85"/>
      <c r="D25" s="75"/>
      <c r="E25" s="75"/>
      <c r="F25" s="75"/>
      <c r="G25" s="75"/>
      <c r="H25" s="75"/>
      <c r="I25" s="75"/>
      <c r="J25" s="75"/>
    </row>
    <row r="26" customFormat="false" ht="15" hidden="false" customHeight="false" outlineLevel="0" collapsed="false">
      <c r="A26" s="75"/>
      <c r="B26" s="65" t="s">
        <v>213</v>
      </c>
      <c r="C26" s="75"/>
      <c r="D26" s="75"/>
      <c r="E26" s="75"/>
      <c r="F26" s="75"/>
      <c r="G26" s="75"/>
      <c r="H26" s="75"/>
      <c r="I26" s="75"/>
      <c r="J26" s="75"/>
    </row>
    <row r="27" customFormat="false" ht="15" hidden="false" customHeight="false" outlineLevel="0" collapsed="false">
      <c r="A27" s="75"/>
      <c r="B27" s="79" t="s">
        <v>8</v>
      </c>
      <c r="C27" s="80" t="s">
        <v>9</v>
      </c>
      <c r="D27" s="80" t="s">
        <v>10</v>
      </c>
      <c r="E27" s="81" t="s">
        <v>60</v>
      </c>
      <c r="F27" s="81" t="s">
        <v>48</v>
      </c>
      <c r="G27" s="82"/>
      <c r="H27" s="82"/>
      <c r="I27" s="82"/>
      <c r="J27" s="75"/>
    </row>
    <row r="28" customFormat="false" ht="40.65" hidden="false" customHeight="false" outlineLevel="0" collapsed="false">
      <c r="A28" s="75"/>
      <c r="B28" s="83" t="s">
        <v>214</v>
      </c>
      <c r="C28" s="86" t="n">
        <f aca="false">IF(NOT(ISNUMBER(C12)),"⚠ R_opt invalid — fix QL on main sheet first",IF(ISNUMBER(C21),IF(C21&gt;3,"⚠ n&gt;3: Use L-network + 50Ω LPF",1.181203*C22/C20),"⚠ n invalid"))</f>
        <v>7.70783471653384E-007</v>
      </c>
      <c r="D28" s="65" t="s">
        <v>67</v>
      </c>
      <c r="E28" s="75"/>
      <c r="F28" s="65" t="s">
        <v>196</v>
      </c>
      <c r="G28" s="75"/>
      <c r="H28" s="75"/>
      <c r="I28" s="75"/>
      <c r="J28" s="75"/>
    </row>
    <row r="29" customFormat="false" ht="15" hidden="false" customHeight="false" outlineLevel="0" collapsed="false">
      <c r="A29" s="75"/>
      <c r="B29" s="83" t="s">
        <v>141</v>
      </c>
      <c r="C29" s="86" t="n">
        <f aca="false">IF(ISNUMBER(C28),C28*1000000,C28)</f>
        <v>0.770783471653384</v>
      </c>
      <c r="D29" s="65" t="s">
        <v>70</v>
      </c>
      <c r="E29" s="65" t="str">
        <f aca="false">IFERROR(IF(ISNUMBER(C29),TEXT(10^INT(LOG10(ABS(C29)+1E-030))*CHOOSE(MATCH(C29/10^INT(LOG10(ABS(C29)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"&amp;D29,C29),"—")</f>
        <v>0.75 µH</v>
      </c>
      <c r="F29" s="75"/>
      <c r="G29" s="75"/>
      <c r="H29" s="75"/>
      <c r="I29" s="75"/>
      <c r="J29" s="75"/>
    </row>
    <row r="30" customFormat="false" ht="66.75" hidden="false" customHeight="false" outlineLevel="0" collapsed="false">
      <c r="A30" s="75"/>
      <c r="B30" s="83" t="s">
        <v>215</v>
      </c>
      <c r="C30" s="86" t="n">
        <f aca="false">IF(NOT(ISNUMBER(C12)),"⚠ R_opt invalid — fix QL on main sheet first",IF(C21&gt;3,"⚠ n&gt;3: Use L-network + 50Ω LPF",1.422802/(C12*C20)))</f>
        <v>7.15617471713412E-010</v>
      </c>
      <c r="D30" s="65" t="s">
        <v>62</v>
      </c>
      <c r="E30" s="75"/>
      <c r="F30" s="65" t="s">
        <v>198</v>
      </c>
      <c r="G30" s="75"/>
      <c r="H30" s="75"/>
      <c r="I30" s="75"/>
      <c r="J30" s="75"/>
    </row>
    <row r="31" customFormat="false" ht="15" hidden="false" customHeight="false" outlineLevel="0" collapsed="false">
      <c r="A31" s="75"/>
      <c r="B31" s="83" t="s">
        <v>144</v>
      </c>
      <c r="C31" s="86" t="n">
        <f aca="false">IF(ISNUMBER(C30),C30*1000000000000,C30)</f>
        <v>715.617471713412</v>
      </c>
      <c r="D31" s="65" t="s">
        <v>30</v>
      </c>
      <c r="E31" s="65" t="str">
        <f aca="false">IFERROR(IF(ISNUMBER(C31),TEXT(10^INT(LOG10(ABS(C31)+1E-030))*CHOOSE(MATCH(C31/10^INT(LOG10(ABS(C31)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"&amp;D31,C31),"—")</f>
        <v>750 pF</v>
      </c>
      <c r="F31" s="75"/>
      <c r="G31" s="75"/>
      <c r="H31" s="75"/>
      <c r="I31" s="75"/>
      <c r="J31" s="75"/>
    </row>
    <row r="32" customFormat="false" ht="40.65" hidden="false" customHeight="false" outlineLevel="0" collapsed="false">
      <c r="A32" s="75"/>
      <c r="B32" s="83" t="s">
        <v>216</v>
      </c>
      <c r="C32" s="86" t="n">
        <f aca="false">IF(NOT(ISNUMBER(C12)),"⚠ R_opt invalid — fix QL on main sheet first",IF(ISNUMBER(C21),IF(C21&gt;3,"⚠ n&gt;3: Use L-network + 50Ω LPF",2.096694*C22/C20),"⚠ n invalid"))</f>
        <v>1.36817895003214E-006</v>
      </c>
      <c r="D32" s="65" t="s">
        <v>67</v>
      </c>
      <c r="E32" s="75"/>
      <c r="F32" s="65" t="s">
        <v>217</v>
      </c>
      <c r="G32" s="75"/>
      <c r="H32" s="75"/>
      <c r="I32" s="75"/>
      <c r="J32" s="75"/>
    </row>
    <row r="33" customFormat="false" ht="15" hidden="false" customHeight="false" outlineLevel="0" collapsed="false">
      <c r="A33" s="75"/>
      <c r="B33" s="83" t="s">
        <v>147</v>
      </c>
      <c r="C33" s="86" t="n">
        <f aca="false">IF(ISNUMBER(C32),C32*1000000,C32)</f>
        <v>1.36817895003214</v>
      </c>
      <c r="D33" s="65" t="s">
        <v>70</v>
      </c>
      <c r="E33" s="65" t="str">
        <f aca="false">IFERROR(IF(ISNUMBER(C33),TEXT(10^INT(LOG10(ABS(C33)+1E-030))*CHOOSE(MATCH(C33/10^INT(LOG10(ABS(C33)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"&amp;D33,C33),"—")</f>
        <v>1.3 µH</v>
      </c>
      <c r="F33" s="75"/>
      <c r="G33" s="75"/>
      <c r="H33" s="75"/>
      <c r="I33" s="75"/>
      <c r="J33" s="75"/>
    </row>
    <row r="34" customFormat="false" ht="210.4" hidden="false" customHeight="false" outlineLevel="0" collapsed="false">
      <c r="A34" s="75"/>
      <c r="B34" s="83" t="s">
        <v>218</v>
      </c>
      <c r="C34" s="86" t="n">
        <f aca="false">IF(NOT(ISNUMBER(C12)),"⚠ R_opt invalid — fix QL on main sheet first",IF(NOT(ISNUMBER(C22)),"⚠ Z0_eff invalid",IF(C21&gt;3,"⚠ n&gt;3: Use L-network + 50Ω LPF",1.573396/(C22*C20))))</f>
        <v>6.3594316166171E-010</v>
      </c>
      <c r="D34" s="65" t="s">
        <v>62</v>
      </c>
      <c r="E34" s="75"/>
      <c r="F34" s="65" t="s">
        <v>219</v>
      </c>
      <c r="G34" s="75"/>
      <c r="H34" s="75"/>
      <c r="I34" s="75"/>
      <c r="J34" s="75"/>
    </row>
    <row r="35" customFormat="false" ht="15" hidden="false" customHeight="false" outlineLevel="0" collapsed="false">
      <c r="A35" s="75"/>
      <c r="B35" s="83" t="s">
        <v>150</v>
      </c>
      <c r="C35" s="86" t="n">
        <f aca="false">IF(ISNUMBER(C34),C34*1000000000000,C34)</f>
        <v>635.94316166171</v>
      </c>
      <c r="D35" s="65" t="s">
        <v>30</v>
      </c>
      <c r="E35" s="65" t="str">
        <f aca="false">IFERROR(IF(ISNUMBER(C35),TEXT(10^INT(LOG10(ABS(C35)+1E-030))*CHOOSE(MATCH(C35/10^INT(LOG10(ABS(C35)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"&amp;D35,C35),"—")</f>
        <v>620 pF</v>
      </c>
      <c r="F35" s="75"/>
      <c r="G35" s="75"/>
      <c r="H35" s="75"/>
      <c r="I35" s="75"/>
      <c r="J35" s="75"/>
    </row>
    <row r="36" customFormat="false" ht="40.65" hidden="false" customHeight="false" outlineLevel="0" collapsed="false">
      <c r="A36" s="75"/>
      <c r="B36" s="83" t="s">
        <v>220</v>
      </c>
      <c r="C36" s="86" t="n">
        <f aca="false">IF(NOT(ISNUMBER(C12)),"⚠ R_opt invalid — fix QL on main sheet first",IF(ISNUMBER(C21),IF(C21&gt;3,"⚠ n&gt;3: Use L-network + 50Ω LPF",2.096694*C22/C20),"⚠ n invalid"))</f>
        <v>1.36817895003214E-006</v>
      </c>
      <c r="D36" s="65" t="s">
        <v>67</v>
      </c>
      <c r="E36" s="75"/>
      <c r="F36" s="65" t="s">
        <v>221</v>
      </c>
      <c r="G36" s="75"/>
      <c r="H36" s="75"/>
      <c r="I36" s="75"/>
      <c r="J36" s="75"/>
    </row>
    <row r="37" customFormat="false" ht="15" hidden="false" customHeight="false" outlineLevel="0" collapsed="false">
      <c r="A37" s="75"/>
      <c r="B37" s="83" t="s">
        <v>153</v>
      </c>
      <c r="C37" s="86" t="n">
        <f aca="false">IF(ISNUMBER(C36),C36*1000000,C36)</f>
        <v>1.36817895003214</v>
      </c>
      <c r="D37" s="65" t="s">
        <v>70</v>
      </c>
      <c r="E37" s="65" t="str">
        <f aca="false">IFERROR(IF(ISNUMBER(C37),TEXT(10^INT(LOG10(ABS(C37)+1E-030))*CHOOSE(MATCH(C37/10^INT(LOG10(ABS(C37)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"&amp;D37,C37),"—")</f>
        <v>1.3 µH</v>
      </c>
      <c r="F37" s="75"/>
      <c r="G37" s="75"/>
      <c r="H37" s="75"/>
      <c r="I37" s="75"/>
      <c r="J37" s="75"/>
    </row>
    <row r="38" customFormat="false" ht="66.75" hidden="false" customHeight="false" outlineLevel="0" collapsed="false">
      <c r="A38" s="75"/>
      <c r="B38" s="83" t="s">
        <v>222</v>
      </c>
      <c r="C38" s="86" t="n">
        <f aca="false">IF(NOT(ISNUMBER(C12)),"⚠ R_opt invalid — fix QL on main sheet first",IF(NOT(ISNUMBER(C21)),"⚠ n invalid",IF(C21&gt;3,"⚠ n&gt;3: Use L-network + 50Ω LPF",1.422802/(C13*C20))))</f>
        <v>4.62134635389867E-010</v>
      </c>
      <c r="D38" s="65" t="s">
        <v>62</v>
      </c>
      <c r="E38" s="75"/>
      <c r="F38" s="65" t="s">
        <v>223</v>
      </c>
      <c r="G38" s="75"/>
      <c r="H38" s="75"/>
      <c r="I38" s="75"/>
      <c r="J38" s="75"/>
    </row>
    <row r="39" customFormat="false" ht="15" hidden="false" customHeight="false" outlineLevel="0" collapsed="false">
      <c r="A39" s="75"/>
      <c r="B39" s="83" t="s">
        <v>224</v>
      </c>
      <c r="C39" s="86" t="n">
        <f aca="false">IF(ISNUMBER(C38),C38*1000000000000,C38)</f>
        <v>462.134635389867</v>
      </c>
      <c r="D39" s="65" t="s">
        <v>30</v>
      </c>
      <c r="E39" s="65" t="str">
        <f aca="false">IFERROR(IF(ISNUMBER(C39),TEXT(10^INT(LOG10(ABS(C39)+1E-030))*CHOOSE(MATCH(C39/10^INT(LOG10(ABS(C39)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"&amp;D39,C39),"—")</f>
        <v>470 pF</v>
      </c>
      <c r="F39" s="75"/>
      <c r="G39" s="75"/>
      <c r="H39" s="75"/>
      <c r="I39" s="75"/>
      <c r="J39" s="75"/>
    </row>
    <row r="40" customFormat="false" ht="66.75" hidden="false" customHeight="false" outlineLevel="0" collapsed="false">
      <c r="A40" s="75"/>
      <c r="B40" s="83" t="s">
        <v>225</v>
      </c>
      <c r="C40" s="86" t="n">
        <f aca="false">IF(NOT(ISNUMBER(C12)),"⚠ R_opt invalid — fix QL on main sheet first",IF(ISNUMBER(C21),IF(C21&gt;3,"⚠ n&gt;3: Use L-network + 50Ω LPF",1.181203*C22/C20),"⚠ n invalid"))</f>
        <v>7.70783471653384E-007</v>
      </c>
      <c r="D40" s="65" t="s">
        <v>67</v>
      </c>
      <c r="E40" s="75"/>
      <c r="F40" s="65" t="s">
        <v>226</v>
      </c>
      <c r="G40" s="75"/>
      <c r="H40" s="75"/>
      <c r="I40" s="75"/>
      <c r="J40" s="75"/>
    </row>
    <row r="41" customFormat="false" ht="15" hidden="false" customHeight="false" outlineLevel="0" collapsed="false">
      <c r="A41" s="75"/>
      <c r="B41" s="83" t="s">
        <v>227</v>
      </c>
      <c r="C41" s="86" t="n">
        <f aca="false">IF(ISNUMBER(C40),C40*1000000,C40)</f>
        <v>0.770783471653384</v>
      </c>
      <c r="D41" s="65" t="s">
        <v>70</v>
      </c>
      <c r="E41" s="65" t="str">
        <f aca="false">IFERROR(IF(ISNUMBER(C41),TEXT(10^INT(LOG10(ABS(C41)+1E-030))*CHOOSE(MATCH(C41/10^INT(LOG10(ABS(C41)+1E-030)),{0,1.048809,1.148913,1.249,1.396424,1.549193,1.697056,1.897367,2.097618,2.297825,2.545584,2.84605,3.146427,3.446738,3.746999,4.095119,4.495553,4.895917,5.344156,5.892368,6.493073,7.141428,7.842194,8.638287,9.539392},1),1,1.1,1.2,1.3,1.5,1.6,1.8,2,2.2,2.4,2.7,3,3.3,3.6,3.9,4.3,4.7,5.1,5.6,6.2,6.8,7.5,8.2,9.1,10),"0.##")&amp;" "&amp;D41,C41),"—")</f>
        <v>0.75 µH</v>
      </c>
      <c r="F41" s="75"/>
      <c r="G41" s="75"/>
      <c r="H41" s="75"/>
      <c r="I41" s="75"/>
      <c r="J41" s="75"/>
    </row>
    <row r="42" customFormat="false" ht="15" hidden="false" customHeight="false" outlineLevel="0" collapsed="false">
      <c r="A42" s="75"/>
      <c r="B42" s="75"/>
      <c r="C42" s="85"/>
      <c r="D42" s="75"/>
      <c r="E42" s="75"/>
      <c r="F42" s="75"/>
      <c r="G42" s="75"/>
      <c r="H42" s="75"/>
      <c r="I42" s="75"/>
      <c r="J42" s="75"/>
    </row>
    <row r="43" customFormat="false" ht="15" hidden="false" customHeight="false" outlineLevel="0" collapsed="false">
      <c r="A43" s="75"/>
      <c r="B43" s="65" t="s">
        <v>112</v>
      </c>
      <c r="C43" s="75"/>
      <c r="D43" s="75"/>
      <c r="E43" s="75"/>
      <c r="F43" s="75"/>
      <c r="G43" s="75"/>
      <c r="H43" s="75"/>
      <c r="I43" s="75"/>
      <c r="J43" s="75"/>
    </row>
    <row r="44" customFormat="false" ht="15" hidden="false" customHeight="false" outlineLevel="0" collapsed="false">
      <c r="A44" s="75"/>
      <c r="B44" s="79" t="s">
        <v>8</v>
      </c>
      <c r="C44" s="80" t="s">
        <v>9</v>
      </c>
      <c r="D44" s="81" t="s">
        <v>10</v>
      </c>
      <c r="E44" s="82"/>
      <c r="F44" s="81" t="s">
        <v>48</v>
      </c>
      <c r="G44" s="82"/>
      <c r="H44" s="82"/>
      <c r="I44" s="82"/>
      <c r="J44" s="75"/>
    </row>
    <row r="45" customFormat="false" ht="92.9" hidden="false" customHeight="false" outlineLevel="0" collapsed="false">
      <c r="A45" s="75"/>
      <c r="B45" s="83" t="s">
        <v>205</v>
      </c>
      <c r="C45" s="86" t="n">
        <f aca="false">-10*LOG10((1+(10^(0.1/10)-1)*(64*(2*C11/C19)^7-112*(2*C11/C19)^5+56*(2*C11/C19)^3-7*(2*C11/C19))^2)/(1+(10^(0.1/10)-1)*(64*(C11/C19)^7-112*(C11/C19)^5+56*(C11/C19)^3-7*(C11/C19))^2))</f>
        <v>-32.0640508287318</v>
      </c>
      <c r="D45" s="65" t="s">
        <v>155</v>
      </c>
      <c r="E45" s="65" t="str">
        <f aca="false">IF(C45&lt;-50,"✅ UPPER BOUND ≥−50 dBc (see I45 for worst-case)",IF(C45&lt;-43,"⚠ UPPER BOUND ≥−43 dBc (FCC only; see I45)","🚨 Fails FCC −43 dBc even as upper bound"))</f>
        <v>🚨 Fails FCC −43 dBc even as upper bound</v>
      </c>
      <c r="F45" s="65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75"/>
      <c r="H45" s="33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C45/C46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5" s="33" t="str">
        <f aca="false">IF(ABS(C21-1)&gt;0.05, "Lower-bound estimate (worst-case asymmetric): "&amp;TEXT(C45+20,"0.0")&amp;" dBc at 2f (up to 20 dB penalty for n="&amp;TEXT(C21,"0.00")&amp;"×). "&amp;IF(C45+20&lt;-50,"✅ Even worst-case meets IARU -50 dBc.",IF(C45+20&lt;-43,"⚠ Worst-case meets FCC -43 dBc only.","🚨 Worst-case may fail FCC -43 dBc.")), "— (n≈1, penalty small)")</f>
        <v>Lower-bound estimate (worst-case asymmetric): -12.1 dBc at 2f (up to 20 dB penalty for n=1.55×). 🚨 Worst-case may fail FCC -43 dBc.</v>
      </c>
      <c r="J45" s="75"/>
    </row>
    <row r="46" customFormat="false" ht="92.9" hidden="false" customHeight="false" outlineLevel="0" collapsed="false">
      <c r="A46" s="75"/>
      <c r="B46" s="83" t="s">
        <v>206</v>
      </c>
      <c r="C46" s="86" t="n">
        <f aca="false">-10*LOG10((1+(10^(0.1/10)-1)*(64*(3*C11/C19)^7-112*(3*C11/C19)^5+56*(3*C11/C19)^3-7*(3*C11/C19))^2)/(1+(10^(0.1/10)-1)*(64*(C11/C19)^7-112*(C11/C19)^5+56*(C11/C19)^3-7*(C11/C19))^2))</f>
        <v>-62.4728499132733</v>
      </c>
      <c r="D46" s="65" t="s">
        <v>155</v>
      </c>
      <c r="E46" s="65" t="str">
        <f aca="false">IF(C46&lt;-50,"✅ UPPER BOUND ≥−50 dBc at 3f (see I46)",IF(C46&lt;-43,"⚠ UPPER BOUND ≥−43 dBc FCC only (see I46)","🚨 Fails FCC −43 dBc at 3f (upper bound; see I46)"))</f>
        <v>✅ UPPER BOUND ≥−50 dBc at 3f (see I46)</v>
      </c>
      <c r="F46" s="65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75"/>
      <c r="H46" s="33" t="str">
        <f aca="false">H45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6" s="33" t="str">
        <f aca="false">IF(ABS(C21-1)&gt;0.05, "Lower-bound estimate (worst-case asymmetric): "&amp;TEXT(C46+20,"0.0")&amp;" dBc at 3f.", "—")</f>
        <v>Lower-bound estimate (worst-case asymmetric): -42.5 dBc at 3f.</v>
      </c>
      <c r="J46" s="75"/>
    </row>
    <row r="47" customFormat="false" ht="53.7" hidden="false" customHeight="false" outlineLevel="0" collapsed="false">
      <c r="A47" s="75"/>
      <c r="B47" s="83" t="s">
        <v>157</v>
      </c>
      <c r="C47" s="85"/>
      <c r="D47" s="75"/>
      <c r="E47" s="75"/>
      <c r="F47" s="65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75"/>
      <c r="H47" s="75"/>
      <c r="I47" s="75"/>
      <c r="J47" s="75"/>
    </row>
    <row r="48" customFormat="false" ht="15" hidden="false" customHeight="false" outlineLevel="0" collapsed="false">
      <c r="A48" s="75"/>
      <c r="B48" s="75"/>
      <c r="C48" s="75"/>
      <c r="D48" s="75"/>
      <c r="E48" s="75"/>
      <c r="F48" s="75"/>
      <c r="G48" s="75"/>
      <c r="H48" s="75"/>
      <c r="I48" s="75"/>
      <c r="J48" s="7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2" activeCellId="0" sqref="A2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74" width="11.73"/>
    <col collapsed="false" customWidth="true" hidden="false" outlineLevel="0" max="2" min="2" style="74" width="9.18"/>
    <col collapsed="false" customWidth="true" hidden="false" outlineLevel="0" max="3" min="3" style="74" width="8.99"/>
    <col collapsed="false" customWidth="true" hidden="false" outlineLevel="0" max="4" min="4" style="74" width="4.33"/>
    <col collapsed="false" customWidth="true" hidden="false" outlineLevel="0" max="5" min="5" style="74" width="9.91"/>
    <col collapsed="false" customWidth="true" hidden="false" outlineLevel="0" max="6" min="6" style="74" width="9.19"/>
    <col collapsed="false" customWidth="false" hidden="false" outlineLevel="0" max="7" min="7" style="74" width="8.65"/>
    <col collapsed="false" customWidth="true" hidden="false" outlineLevel="0" max="8" min="8" style="74" width="5.32"/>
    <col collapsed="false" customWidth="true" hidden="false" outlineLevel="0" max="9" min="9" style="74" width="10.06"/>
    <col collapsed="false" customWidth="true" hidden="false" outlineLevel="0" max="10" min="10" style="74" width="11.71"/>
    <col collapsed="false" customWidth="true" hidden="false" outlineLevel="0" max="11" min="11" style="74" width="17.88"/>
    <col collapsed="false" customWidth="true" hidden="false" outlineLevel="0" max="12" min="12" style="74" width="40.06"/>
    <col collapsed="false" customWidth="true" hidden="false" outlineLevel="0" max="13" min="13" style="74" width="8.58"/>
    <col collapsed="false" customWidth="true" hidden="false" outlineLevel="0" max="14" min="14" style="74" width="10.59"/>
    <col collapsed="false" customWidth="true" hidden="false" outlineLevel="0" max="15" min="15" style="74" width="31.16"/>
    <col collapsed="false" customWidth="true" hidden="false" outlineLevel="0" max="16" min="16" style="74" width="11.53"/>
    <col collapsed="false" customWidth="true" hidden="false" outlineLevel="0" max="17" min="17" style="74" width="10.97"/>
    <col collapsed="false" customWidth="false" hidden="false" outlineLevel="0" max="257" min="18" style="74" width="8.64"/>
  </cols>
  <sheetData>
    <row r="1" customFormat="false" ht="15" hidden="false" customHeight="false" outlineLevel="0" collapsed="false">
      <c r="A1" s="87" t="s">
        <v>228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75"/>
      <c r="N1" s="75"/>
      <c r="O1" s="75"/>
      <c r="P1" s="75"/>
      <c r="Q1" s="75"/>
    </row>
    <row r="2" customFormat="false" ht="15" hidden="false" customHeight="false" outlineLevel="0" collapsed="false">
      <c r="A2" s="89" t="str">
        <f aca="false">IF(COUNTA(A3:Q3)=17,"✅ Table header: 17 columns (A–Q) verified","⚠ Column count mismatch — VLOOKUP indices may be wrong")</f>
        <v>✅ Table header: 17 columns (A–Q) verified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75"/>
      <c r="N2" s="75"/>
      <c r="O2" s="75"/>
      <c r="P2" s="75"/>
      <c r="Q2" s="75"/>
    </row>
    <row r="3" s="96" customFormat="true" ht="27.6" hidden="false" customHeight="false" outlineLevel="0" collapsed="false">
      <c r="A3" s="91" t="s">
        <v>229</v>
      </c>
      <c r="B3" s="91" t="s">
        <v>230</v>
      </c>
      <c r="C3" s="92" t="s">
        <v>231</v>
      </c>
      <c r="D3" s="92" t="s">
        <v>232</v>
      </c>
      <c r="E3" s="92" t="s">
        <v>233</v>
      </c>
      <c r="F3" s="92" t="s">
        <v>234</v>
      </c>
      <c r="G3" s="92" t="s">
        <v>235</v>
      </c>
      <c r="H3" s="92" t="s">
        <v>236</v>
      </c>
      <c r="I3" s="92" t="s">
        <v>237</v>
      </c>
      <c r="J3" s="92" t="s">
        <v>238</v>
      </c>
      <c r="K3" s="92" t="s">
        <v>239</v>
      </c>
      <c r="L3" s="91" t="s">
        <v>240</v>
      </c>
      <c r="M3" s="92" t="s">
        <v>241</v>
      </c>
      <c r="N3" s="93" t="s">
        <v>242</v>
      </c>
      <c r="O3" s="93" t="s">
        <v>243</v>
      </c>
      <c r="P3" s="80" t="s">
        <v>244</v>
      </c>
      <c r="Q3" s="94" t="s">
        <v>245</v>
      </c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G3" s="95"/>
      <c r="BH3" s="95"/>
      <c r="BI3" s="95"/>
      <c r="BJ3" s="95"/>
      <c r="BK3" s="95"/>
      <c r="BL3" s="95"/>
      <c r="BM3" s="95"/>
      <c r="BN3" s="95"/>
      <c r="BO3" s="95"/>
      <c r="BP3" s="95"/>
      <c r="BQ3" s="95"/>
      <c r="BR3" s="95"/>
      <c r="BS3" s="95"/>
      <c r="BT3" s="95"/>
      <c r="BU3" s="95"/>
      <c r="BV3" s="95"/>
      <c r="BW3" s="95"/>
      <c r="BX3" s="95"/>
      <c r="BY3" s="95"/>
      <c r="BZ3" s="95"/>
      <c r="CA3" s="95"/>
      <c r="CB3" s="95"/>
      <c r="CC3" s="95"/>
      <c r="CD3" s="95"/>
      <c r="CE3" s="95"/>
      <c r="CF3" s="95"/>
      <c r="CG3" s="95"/>
      <c r="CH3" s="95"/>
      <c r="CI3" s="95"/>
      <c r="CJ3" s="95"/>
      <c r="CK3" s="95"/>
      <c r="CL3" s="95"/>
      <c r="CM3" s="95"/>
      <c r="CN3" s="95"/>
      <c r="CO3" s="95"/>
      <c r="CP3" s="95"/>
      <c r="CQ3" s="95"/>
      <c r="CR3" s="95"/>
      <c r="CS3" s="95"/>
      <c r="CT3" s="95"/>
      <c r="CU3" s="95"/>
      <c r="CV3" s="95"/>
      <c r="CW3" s="95"/>
      <c r="CX3" s="95"/>
      <c r="CY3" s="95"/>
      <c r="CZ3" s="95"/>
      <c r="DA3" s="95"/>
      <c r="DB3" s="95"/>
      <c r="DC3" s="95"/>
      <c r="DD3" s="95"/>
      <c r="DE3" s="95"/>
      <c r="DF3" s="95"/>
      <c r="DG3" s="95"/>
      <c r="DH3" s="95"/>
      <c r="DI3" s="95"/>
      <c r="DJ3" s="95"/>
      <c r="DK3" s="95"/>
      <c r="DL3" s="95"/>
      <c r="DM3" s="95"/>
      <c r="DN3" s="95"/>
      <c r="DO3" s="95"/>
      <c r="DP3" s="95"/>
      <c r="DQ3" s="95"/>
      <c r="DR3" s="95"/>
      <c r="DS3" s="95"/>
      <c r="DT3" s="95"/>
      <c r="DU3" s="95"/>
      <c r="DV3" s="95"/>
      <c r="DW3" s="95"/>
      <c r="DX3" s="95"/>
      <c r="DY3" s="95"/>
      <c r="DZ3" s="95"/>
      <c r="EA3" s="95"/>
      <c r="EB3" s="95"/>
      <c r="EC3" s="95"/>
      <c r="ED3" s="95"/>
      <c r="EE3" s="95"/>
      <c r="EF3" s="95"/>
      <c r="EG3" s="95"/>
      <c r="EH3" s="95"/>
      <c r="EI3" s="95"/>
      <c r="EJ3" s="95"/>
      <c r="EK3" s="95"/>
      <c r="EL3" s="95"/>
      <c r="EM3" s="95"/>
      <c r="EN3" s="95"/>
      <c r="EO3" s="95"/>
      <c r="EP3" s="95"/>
      <c r="EQ3" s="95"/>
      <c r="ER3" s="95"/>
      <c r="ES3" s="95"/>
      <c r="ET3" s="95"/>
      <c r="EU3" s="95"/>
      <c r="EV3" s="95"/>
      <c r="EW3" s="95"/>
      <c r="EX3" s="95"/>
      <c r="EY3" s="95"/>
      <c r="EZ3" s="95"/>
      <c r="FA3" s="95"/>
      <c r="FB3" s="95"/>
      <c r="FC3" s="95"/>
      <c r="FD3" s="95"/>
      <c r="FE3" s="95"/>
      <c r="FF3" s="95"/>
      <c r="FG3" s="95"/>
      <c r="FH3" s="95"/>
      <c r="FI3" s="95"/>
      <c r="FJ3" s="95"/>
      <c r="FK3" s="95"/>
      <c r="FL3" s="95"/>
      <c r="FM3" s="95"/>
      <c r="FN3" s="95"/>
      <c r="FO3" s="95"/>
      <c r="FP3" s="95"/>
      <c r="FQ3" s="95"/>
      <c r="FR3" s="95"/>
      <c r="FS3" s="95"/>
      <c r="FT3" s="95"/>
      <c r="FU3" s="95"/>
      <c r="FV3" s="95"/>
      <c r="FW3" s="95"/>
      <c r="FX3" s="95"/>
      <c r="FY3" s="95"/>
      <c r="FZ3" s="95"/>
      <c r="GA3" s="95"/>
      <c r="GB3" s="95"/>
      <c r="GC3" s="95"/>
      <c r="GD3" s="95"/>
      <c r="GE3" s="95"/>
      <c r="GF3" s="95"/>
      <c r="GG3" s="95"/>
      <c r="GH3" s="95"/>
      <c r="GI3" s="95"/>
      <c r="GJ3" s="95"/>
      <c r="GK3" s="95"/>
      <c r="GL3" s="95"/>
      <c r="GM3" s="95"/>
      <c r="GN3" s="95"/>
      <c r="GO3" s="95"/>
      <c r="GP3" s="95"/>
      <c r="GQ3" s="95"/>
      <c r="GR3" s="95"/>
      <c r="GS3" s="95"/>
      <c r="GT3" s="95"/>
      <c r="GU3" s="95"/>
      <c r="GV3" s="95"/>
      <c r="GW3" s="95"/>
      <c r="GX3" s="95"/>
      <c r="GY3" s="95"/>
      <c r="GZ3" s="95"/>
      <c r="HA3" s="95"/>
      <c r="HB3" s="95"/>
      <c r="HC3" s="95"/>
      <c r="HD3" s="95"/>
      <c r="HE3" s="95"/>
      <c r="HF3" s="95"/>
      <c r="HG3" s="95"/>
      <c r="HH3" s="95"/>
      <c r="HI3" s="95"/>
      <c r="HJ3" s="95"/>
      <c r="HK3" s="95"/>
      <c r="HL3" s="95"/>
      <c r="HM3" s="95"/>
      <c r="HN3" s="95"/>
      <c r="HO3" s="95"/>
      <c r="HP3" s="95"/>
      <c r="HQ3" s="95"/>
      <c r="HR3" s="95"/>
      <c r="HS3" s="95"/>
      <c r="HT3" s="95"/>
      <c r="HU3" s="95"/>
      <c r="HV3" s="95"/>
      <c r="HW3" s="95"/>
      <c r="HX3" s="95"/>
      <c r="HY3" s="95"/>
      <c r="HZ3" s="95"/>
      <c r="IA3" s="95"/>
      <c r="IB3" s="95"/>
      <c r="IC3" s="95"/>
      <c r="ID3" s="95"/>
      <c r="IE3" s="95"/>
      <c r="IF3" s="95"/>
      <c r="IG3" s="95"/>
      <c r="IH3" s="95"/>
      <c r="II3" s="95"/>
      <c r="IJ3" s="95"/>
      <c r="IK3" s="95"/>
      <c r="IL3" s="95"/>
      <c r="IM3" s="95"/>
      <c r="IN3" s="95"/>
      <c r="IO3" s="95"/>
      <c r="IP3" s="95"/>
      <c r="IQ3" s="95"/>
      <c r="IR3" s="95"/>
      <c r="IS3" s="95"/>
      <c r="IT3" s="95"/>
      <c r="IU3" s="95"/>
      <c r="IV3" s="95"/>
      <c r="IW3" s="95"/>
    </row>
    <row r="4" s="96" customFormat="true" ht="23.1" hidden="false" customHeight="false" outlineLevel="0" collapsed="false">
      <c r="A4" s="97" t="s">
        <v>5</v>
      </c>
      <c r="B4" s="97" t="s">
        <v>246</v>
      </c>
      <c r="C4" s="97" t="n">
        <v>60</v>
      </c>
      <c r="D4" s="97" t="n">
        <v>0.5</v>
      </c>
      <c r="E4" s="97" t="n">
        <v>5</v>
      </c>
      <c r="F4" s="97" t="n">
        <v>60</v>
      </c>
      <c r="G4" s="97" t="n">
        <v>12</v>
      </c>
      <c r="H4" s="97" t="n">
        <v>0.83</v>
      </c>
      <c r="I4" s="97" t="n">
        <v>300</v>
      </c>
      <c r="J4" s="97" t="s">
        <v>247</v>
      </c>
      <c r="K4" s="97" t="s">
        <v>248</v>
      </c>
      <c r="L4" s="98" t="s">
        <v>249</v>
      </c>
      <c r="M4" s="97" t="n">
        <v>150</v>
      </c>
      <c r="N4" s="99" t="s">
        <v>250</v>
      </c>
      <c r="O4" s="99" t="n">
        <v>0.4</v>
      </c>
      <c r="P4" s="100" t="s">
        <v>251</v>
      </c>
      <c r="Q4" s="100" t="n">
        <v>2.5</v>
      </c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95"/>
      <c r="BQ4" s="95"/>
      <c r="BR4" s="95"/>
      <c r="BS4" s="95"/>
      <c r="BT4" s="95"/>
      <c r="BU4" s="95"/>
      <c r="BV4" s="95"/>
      <c r="BW4" s="95"/>
      <c r="BX4" s="95"/>
      <c r="BY4" s="95"/>
      <c r="BZ4" s="95"/>
      <c r="CA4" s="95"/>
      <c r="CB4" s="95"/>
      <c r="CC4" s="95"/>
      <c r="CD4" s="95"/>
      <c r="CE4" s="95"/>
      <c r="CF4" s="95"/>
      <c r="CG4" s="95"/>
      <c r="CH4" s="95"/>
      <c r="CI4" s="95"/>
      <c r="CJ4" s="95"/>
      <c r="CK4" s="95"/>
      <c r="CL4" s="95"/>
      <c r="CM4" s="95"/>
      <c r="CN4" s="95"/>
      <c r="CO4" s="95"/>
      <c r="CP4" s="95"/>
      <c r="CQ4" s="95"/>
      <c r="CR4" s="95"/>
      <c r="CS4" s="95"/>
      <c r="CT4" s="95"/>
      <c r="CU4" s="95"/>
      <c r="CV4" s="95"/>
      <c r="CW4" s="95"/>
      <c r="CX4" s="95"/>
      <c r="CY4" s="95"/>
      <c r="CZ4" s="95"/>
      <c r="DA4" s="95"/>
      <c r="DB4" s="95"/>
      <c r="DC4" s="95"/>
      <c r="DD4" s="95"/>
      <c r="DE4" s="95"/>
      <c r="DF4" s="95"/>
      <c r="DG4" s="95"/>
      <c r="DH4" s="95"/>
      <c r="DI4" s="95"/>
      <c r="DJ4" s="95"/>
      <c r="DK4" s="95"/>
      <c r="DL4" s="95"/>
      <c r="DM4" s="95"/>
      <c r="DN4" s="95"/>
      <c r="DO4" s="95"/>
      <c r="DP4" s="95"/>
      <c r="DQ4" s="95"/>
      <c r="DR4" s="95"/>
      <c r="DS4" s="95"/>
      <c r="DT4" s="95"/>
      <c r="DU4" s="95"/>
      <c r="DV4" s="95"/>
      <c r="DW4" s="95"/>
      <c r="DX4" s="95"/>
      <c r="DY4" s="95"/>
      <c r="DZ4" s="95"/>
      <c r="EA4" s="95"/>
      <c r="EB4" s="95"/>
      <c r="EC4" s="95"/>
      <c r="ED4" s="95"/>
      <c r="EE4" s="95"/>
      <c r="EF4" s="95"/>
      <c r="EG4" s="95"/>
      <c r="EH4" s="95"/>
      <c r="EI4" s="95"/>
      <c r="EJ4" s="95"/>
      <c r="EK4" s="95"/>
      <c r="EL4" s="95"/>
      <c r="EM4" s="95"/>
      <c r="EN4" s="95"/>
      <c r="EO4" s="95"/>
      <c r="EP4" s="95"/>
      <c r="EQ4" s="95"/>
      <c r="ER4" s="95"/>
      <c r="ES4" s="95"/>
      <c r="ET4" s="95"/>
      <c r="EU4" s="95"/>
      <c r="EV4" s="95"/>
      <c r="EW4" s="95"/>
      <c r="EX4" s="95"/>
      <c r="EY4" s="95"/>
      <c r="EZ4" s="95"/>
      <c r="FA4" s="95"/>
      <c r="FB4" s="95"/>
      <c r="FC4" s="95"/>
      <c r="FD4" s="95"/>
      <c r="FE4" s="95"/>
      <c r="FF4" s="95"/>
      <c r="FG4" s="95"/>
      <c r="FH4" s="95"/>
      <c r="FI4" s="95"/>
      <c r="FJ4" s="95"/>
      <c r="FK4" s="95"/>
      <c r="FL4" s="95"/>
      <c r="FM4" s="95"/>
      <c r="FN4" s="95"/>
      <c r="FO4" s="95"/>
      <c r="FP4" s="95"/>
      <c r="FQ4" s="95"/>
      <c r="FR4" s="95"/>
      <c r="FS4" s="95"/>
      <c r="FT4" s="95"/>
      <c r="FU4" s="95"/>
      <c r="FV4" s="95"/>
      <c r="FW4" s="95"/>
      <c r="FX4" s="95"/>
      <c r="FY4" s="95"/>
      <c r="FZ4" s="95"/>
      <c r="GA4" s="95"/>
      <c r="GB4" s="95"/>
      <c r="GC4" s="95"/>
      <c r="GD4" s="95"/>
      <c r="GE4" s="95"/>
      <c r="GF4" s="95"/>
      <c r="GG4" s="95"/>
      <c r="GH4" s="95"/>
      <c r="GI4" s="95"/>
      <c r="GJ4" s="95"/>
      <c r="GK4" s="95"/>
      <c r="GL4" s="95"/>
      <c r="GM4" s="95"/>
      <c r="GN4" s="95"/>
      <c r="GO4" s="95"/>
      <c r="GP4" s="95"/>
      <c r="GQ4" s="95"/>
      <c r="GR4" s="95"/>
      <c r="GS4" s="95"/>
      <c r="GT4" s="95"/>
      <c r="GU4" s="95"/>
      <c r="GV4" s="95"/>
      <c r="GW4" s="95"/>
      <c r="GX4" s="95"/>
      <c r="GY4" s="95"/>
      <c r="GZ4" s="95"/>
      <c r="HA4" s="95"/>
      <c r="HB4" s="95"/>
      <c r="HC4" s="95"/>
      <c r="HD4" s="95"/>
      <c r="HE4" s="95"/>
      <c r="HF4" s="95"/>
      <c r="HG4" s="95"/>
      <c r="HH4" s="95"/>
      <c r="HI4" s="95"/>
      <c r="HJ4" s="95"/>
      <c r="HK4" s="95"/>
      <c r="HL4" s="95"/>
      <c r="HM4" s="95"/>
      <c r="HN4" s="95"/>
      <c r="HO4" s="95"/>
      <c r="HP4" s="95"/>
      <c r="HQ4" s="95"/>
      <c r="HR4" s="95"/>
      <c r="HS4" s="95"/>
      <c r="HT4" s="95"/>
      <c r="HU4" s="95"/>
      <c r="HV4" s="95"/>
      <c r="HW4" s="95"/>
      <c r="HX4" s="95"/>
      <c r="HY4" s="95"/>
      <c r="HZ4" s="95"/>
      <c r="IA4" s="95"/>
      <c r="IB4" s="95"/>
      <c r="IC4" s="95"/>
      <c r="ID4" s="95"/>
      <c r="IE4" s="95"/>
      <c r="IF4" s="95"/>
      <c r="IG4" s="95"/>
      <c r="IH4" s="95"/>
      <c r="II4" s="95"/>
      <c r="IJ4" s="95"/>
      <c r="IK4" s="95"/>
      <c r="IL4" s="95"/>
      <c r="IM4" s="95"/>
      <c r="IN4" s="95"/>
      <c r="IO4" s="95"/>
      <c r="IP4" s="95"/>
      <c r="IQ4" s="95"/>
      <c r="IR4" s="95"/>
      <c r="IS4" s="95"/>
      <c r="IT4" s="95"/>
      <c r="IU4" s="95"/>
      <c r="IV4" s="95"/>
      <c r="IW4" s="95"/>
    </row>
    <row r="5" s="96" customFormat="true" ht="23.1" hidden="false" customHeight="false" outlineLevel="0" collapsed="false">
      <c r="A5" s="97" t="s">
        <v>252</v>
      </c>
      <c r="B5" s="97" t="s">
        <v>246</v>
      </c>
      <c r="C5" s="97" t="n">
        <v>60</v>
      </c>
      <c r="D5" s="97" t="n">
        <v>0.2</v>
      </c>
      <c r="E5" s="97" t="n">
        <v>5.3</v>
      </c>
      <c r="F5" s="97" t="n">
        <v>50</v>
      </c>
      <c r="G5" s="97" t="n">
        <v>10</v>
      </c>
      <c r="H5" s="97" t="n">
        <v>0.4</v>
      </c>
      <c r="I5" s="97" t="n">
        <v>200</v>
      </c>
      <c r="J5" s="97" t="s">
        <v>253</v>
      </c>
      <c r="K5" s="97" t="s">
        <v>254</v>
      </c>
      <c r="L5" s="98" t="s">
        <v>255</v>
      </c>
      <c r="M5" s="97" t="n">
        <v>150</v>
      </c>
      <c r="N5" s="99" t="s">
        <v>256</v>
      </c>
      <c r="O5" s="99" t="n">
        <v>0.4</v>
      </c>
      <c r="P5" s="100" t="s">
        <v>251</v>
      </c>
      <c r="Q5" s="100" t="n">
        <v>2.5</v>
      </c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5"/>
      <c r="BI5" s="95"/>
      <c r="BJ5" s="95"/>
      <c r="BK5" s="95"/>
      <c r="BL5" s="95"/>
      <c r="BM5" s="95"/>
      <c r="BN5" s="95"/>
      <c r="BO5" s="95"/>
      <c r="BP5" s="95"/>
      <c r="BQ5" s="95"/>
      <c r="BR5" s="95"/>
      <c r="BS5" s="95"/>
      <c r="BT5" s="95"/>
      <c r="BU5" s="95"/>
      <c r="BV5" s="95"/>
      <c r="BW5" s="95"/>
      <c r="BX5" s="95"/>
      <c r="BY5" s="95"/>
      <c r="BZ5" s="95"/>
      <c r="CA5" s="95"/>
      <c r="CB5" s="95"/>
      <c r="CC5" s="95"/>
      <c r="CD5" s="95"/>
      <c r="CE5" s="95"/>
      <c r="CF5" s="95"/>
      <c r="CG5" s="95"/>
      <c r="CH5" s="95"/>
      <c r="CI5" s="95"/>
      <c r="CJ5" s="95"/>
      <c r="CK5" s="95"/>
      <c r="CL5" s="95"/>
      <c r="CM5" s="95"/>
      <c r="CN5" s="95"/>
      <c r="CO5" s="95"/>
      <c r="CP5" s="95"/>
      <c r="CQ5" s="95"/>
      <c r="CR5" s="95"/>
      <c r="CS5" s="95"/>
      <c r="CT5" s="95"/>
      <c r="CU5" s="95"/>
      <c r="CV5" s="95"/>
      <c r="CW5" s="95"/>
      <c r="CX5" s="95"/>
      <c r="CY5" s="95"/>
      <c r="CZ5" s="95"/>
      <c r="DA5" s="95"/>
      <c r="DB5" s="95"/>
      <c r="DC5" s="95"/>
      <c r="DD5" s="95"/>
      <c r="DE5" s="95"/>
      <c r="DF5" s="95"/>
      <c r="DG5" s="95"/>
      <c r="DH5" s="95"/>
      <c r="DI5" s="95"/>
      <c r="DJ5" s="95"/>
      <c r="DK5" s="95"/>
      <c r="DL5" s="95"/>
      <c r="DM5" s="95"/>
      <c r="DN5" s="95"/>
      <c r="DO5" s="95"/>
      <c r="DP5" s="95"/>
      <c r="DQ5" s="95"/>
      <c r="DR5" s="95"/>
      <c r="DS5" s="95"/>
      <c r="DT5" s="95"/>
      <c r="DU5" s="95"/>
      <c r="DV5" s="95"/>
      <c r="DW5" s="95"/>
      <c r="DX5" s="95"/>
      <c r="DY5" s="95"/>
      <c r="DZ5" s="95"/>
      <c r="EA5" s="95"/>
      <c r="EB5" s="95"/>
      <c r="EC5" s="95"/>
      <c r="ED5" s="95"/>
      <c r="EE5" s="95"/>
      <c r="EF5" s="95"/>
      <c r="EG5" s="95"/>
      <c r="EH5" s="95"/>
      <c r="EI5" s="95"/>
      <c r="EJ5" s="95"/>
      <c r="EK5" s="95"/>
      <c r="EL5" s="95"/>
      <c r="EM5" s="95"/>
      <c r="EN5" s="95"/>
      <c r="EO5" s="95"/>
      <c r="EP5" s="95"/>
      <c r="EQ5" s="95"/>
      <c r="ER5" s="95"/>
      <c r="ES5" s="95"/>
      <c r="ET5" s="95"/>
      <c r="EU5" s="95"/>
      <c r="EV5" s="95"/>
      <c r="EW5" s="95"/>
      <c r="EX5" s="95"/>
      <c r="EY5" s="95"/>
      <c r="EZ5" s="95"/>
      <c r="FA5" s="95"/>
      <c r="FB5" s="95"/>
      <c r="FC5" s="95"/>
      <c r="FD5" s="95"/>
      <c r="FE5" s="95"/>
      <c r="FF5" s="95"/>
      <c r="FG5" s="95"/>
      <c r="FH5" s="95"/>
      <c r="FI5" s="95"/>
      <c r="FJ5" s="95"/>
      <c r="FK5" s="95"/>
      <c r="FL5" s="95"/>
      <c r="FM5" s="95"/>
      <c r="FN5" s="95"/>
      <c r="FO5" s="95"/>
      <c r="FP5" s="95"/>
      <c r="FQ5" s="95"/>
      <c r="FR5" s="95"/>
      <c r="FS5" s="95"/>
      <c r="FT5" s="95"/>
      <c r="FU5" s="95"/>
      <c r="FV5" s="95"/>
      <c r="FW5" s="95"/>
      <c r="FX5" s="95"/>
      <c r="FY5" s="95"/>
      <c r="FZ5" s="95"/>
      <c r="GA5" s="95"/>
      <c r="GB5" s="95"/>
      <c r="GC5" s="95"/>
      <c r="GD5" s="95"/>
      <c r="GE5" s="95"/>
      <c r="GF5" s="95"/>
      <c r="GG5" s="95"/>
      <c r="GH5" s="95"/>
      <c r="GI5" s="95"/>
      <c r="GJ5" s="95"/>
      <c r="GK5" s="95"/>
      <c r="GL5" s="95"/>
      <c r="GM5" s="95"/>
      <c r="GN5" s="95"/>
      <c r="GO5" s="95"/>
      <c r="GP5" s="95"/>
      <c r="GQ5" s="95"/>
      <c r="GR5" s="95"/>
      <c r="GS5" s="95"/>
      <c r="GT5" s="95"/>
      <c r="GU5" s="95"/>
      <c r="GV5" s="95"/>
      <c r="GW5" s="95"/>
      <c r="GX5" s="95"/>
      <c r="GY5" s="95"/>
      <c r="GZ5" s="95"/>
      <c r="HA5" s="95"/>
      <c r="HB5" s="95"/>
      <c r="HC5" s="95"/>
      <c r="HD5" s="95"/>
      <c r="HE5" s="95"/>
      <c r="HF5" s="95"/>
      <c r="HG5" s="95"/>
      <c r="HH5" s="95"/>
      <c r="HI5" s="95"/>
      <c r="HJ5" s="95"/>
      <c r="HK5" s="95"/>
      <c r="HL5" s="95"/>
      <c r="HM5" s="95"/>
      <c r="HN5" s="95"/>
      <c r="HO5" s="95"/>
      <c r="HP5" s="95"/>
      <c r="HQ5" s="95"/>
      <c r="HR5" s="95"/>
      <c r="HS5" s="95"/>
      <c r="HT5" s="95"/>
      <c r="HU5" s="95"/>
      <c r="HV5" s="95"/>
      <c r="HW5" s="95"/>
      <c r="HX5" s="95"/>
      <c r="HY5" s="95"/>
      <c r="HZ5" s="95"/>
      <c r="IA5" s="95"/>
      <c r="IB5" s="95"/>
      <c r="IC5" s="95"/>
      <c r="ID5" s="95"/>
      <c r="IE5" s="95"/>
      <c r="IF5" s="95"/>
      <c r="IG5" s="95"/>
      <c r="IH5" s="95"/>
      <c r="II5" s="95"/>
      <c r="IJ5" s="95"/>
      <c r="IK5" s="95"/>
      <c r="IL5" s="95"/>
      <c r="IM5" s="95"/>
      <c r="IN5" s="95"/>
      <c r="IO5" s="95"/>
      <c r="IP5" s="95"/>
      <c r="IQ5" s="95"/>
      <c r="IR5" s="95"/>
      <c r="IS5" s="95"/>
      <c r="IT5" s="95"/>
      <c r="IU5" s="95"/>
      <c r="IV5" s="95"/>
      <c r="IW5" s="95"/>
    </row>
    <row r="6" s="96" customFormat="true" ht="23.1" hidden="false" customHeight="false" outlineLevel="0" collapsed="false">
      <c r="A6" s="97" t="s">
        <v>257</v>
      </c>
      <c r="B6" s="97" t="s">
        <v>258</v>
      </c>
      <c r="C6" s="97" t="n">
        <v>100</v>
      </c>
      <c r="D6" s="97" t="n">
        <v>5.6</v>
      </c>
      <c r="E6" s="97" t="n">
        <v>0.54</v>
      </c>
      <c r="F6" s="97" t="n">
        <v>135</v>
      </c>
      <c r="G6" s="97" t="n">
        <v>100</v>
      </c>
      <c r="H6" s="97" t="n">
        <v>43</v>
      </c>
      <c r="I6" s="97" t="n">
        <v>50</v>
      </c>
      <c r="J6" s="97" t="s">
        <v>259</v>
      </c>
      <c r="K6" s="97" t="s">
        <v>260</v>
      </c>
      <c r="L6" s="98" t="s">
        <v>261</v>
      </c>
      <c r="M6" s="97" t="n">
        <v>150</v>
      </c>
      <c r="N6" s="99" t="s">
        <v>262</v>
      </c>
      <c r="O6" s="99" t="n">
        <v>0.35</v>
      </c>
      <c r="P6" s="100" t="s">
        <v>263</v>
      </c>
      <c r="Q6" s="100" t="n">
        <v>2.3</v>
      </c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95"/>
      <c r="AX6" s="95"/>
      <c r="AY6" s="95"/>
      <c r="AZ6" s="95"/>
      <c r="BA6" s="95"/>
      <c r="BB6" s="95"/>
      <c r="BC6" s="95"/>
      <c r="BD6" s="95"/>
      <c r="BE6" s="95"/>
      <c r="BF6" s="95"/>
      <c r="BG6" s="95"/>
      <c r="BH6" s="95"/>
      <c r="BI6" s="95"/>
      <c r="BJ6" s="95"/>
      <c r="BK6" s="95"/>
      <c r="BL6" s="95"/>
      <c r="BM6" s="95"/>
      <c r="BN6" s="95"/>
      <c r="BO6" s="95"/>
      <c r="BP6" s="95"/>
      <c r="BQ6" s="95"/>
      <c r="BR6" s="95"/>
      <c r="BS6" s="95"/>
      <c r="BT6" s="95"/>
      <c r="BU6" s="95"/>
      <c r="BV6" s="95"/>
      <c r="BW6" s="95"/>
      <c r="BX6" s="95"/>
      <c r="BY6" s="95"/>
      <c r="BZ6" s="95"/>
      <c r="CA6" s="95"/>
      <c r="CB6" s="95"/>
      <c r="CC6" s="95"/>
      <c r="CD6" s="95"/>
      <c r="CE6" s="95"/>
      <c r="CF6" s="95"/>
      <c r="CG6" s="95"/>
      <c r="CH6" s="95"/>
      <c r="CI6" s="95"/>
      <c r="CJ6" s="95"/>
      <c r="CK6" s="95"/>
      <c r="CL6" s="95"/>
      <c r="CM6" s="95"/>
      <c r="CN6" s="95"/>
      <c r="CO6" s="95"/>
      <c r="CP6" s="95"/>
      <c r="CQ6" s="95"/>
      <c r="CR6" s="95"/>
      <c r="CS6" s="95"/>
      <c r="CT6" s="95"/>
      <c r="CU6" s="95"/>
      <c r="CV6" s="95"/>
      <c r="CW6" s="95"/>
      <c r="CX6" s="95"/>
      <c r="CY6" s="95"/>
      <c r="CZ6" s="95"/>
      <c r="DA6" s="95"/>
      <c r="DB6" s="95"/>
      <c r="DC6" s="95"/>
      <c r="DD6" s="95"/>
      <c r="DE6" s="95"/>
      <c r="DF6" s="95"/>
      <c r="DG6" s="95"/>
      <c r="DH6" s="95"/>
      <c r="DI6" s="95"/>
      <c r="DJ6" s="95"/>
      <c r="DK6" s="95"/>
      <c r="DL6" s="95"/>
      <c r="DM6" s="95"/>
      <c r="DN6" s="95"/>
      <c r="DO6" s="95"/>
      <c r="DP6" s="95"/>
      <c r="DQ6" s="95"/>
      <c r="DR6" s="95"/>
      <c r="DS6" s="95"/>
      <c r="DT6" s="95"/>
      <c r="DU6" s="95"/>
      <c r="DV6" s="95"/>
      <c r="DW6" s="95"/>
      <c r="DX6" s="95"/>
      <c r="DY6" s="95"/>
      <c r="DZ6" s="95"/>
      <c r="EA6" s="95"/>
      <c r="EB6" s="95"/>
      <c r="EC6" s="95"/>
      <c r="ED6" s="95"/>
      <c r="EE6" s="95"/>
      <c r="EF6" s="95"/>
      <c r="EG6" s="95"/>
      <c r="EH6" s="95"/>
      <c r="EI6" s="95"/>
      <c r="EJ6" s="95"/>
      <c r="EK6" s="95"/>
      <c r="EL6" s="95"/>
      <c r="EM6" s="95"/>
      <c r="EN6" s="95"/>
      <c r="EO6" s="95"/>
      <c r="EP6" s="95"/>
      <c r="EQ6" s="95"/>
      <c r="ER6" s="95"/>
      <c r="ES6" s="95"/>
      <c r="ET6" s="95"/>
      <c r="EU6" s="95"/>
      <c r="EV6" s="95"/>
      <c r="EW6" s="95"/>
      <c r="EX6" s="95"/>
      <c r="EY6" s="95"/>
      <c r="EZ6" s="95"/>
      <c r="FA6" s="95"/>
      <c r="FB6" s="95"/>
      <c r="FC6" s="95"/>
      <c r="FD6" s="95"/>
      <c r="FE6" s="95"/>
      <c r="FF6" s="95"/>
      <c r="FG6" s="95"/>
      <c r="FH6" s="95"/>
      <c r="FI6" s="95"/>
      <c r="FJ6" s="95"/>
      <c r="FK6" s="95"/>
      <c r="FL6" s="95"/>
      <c r="FM6" s="95"/>
      <c r="FN6" s="95"/>
      <c r="FO6" s="95"/>
      <c r="FP6" s="95"/>
      <c r="FQ6" s="95"/>
      <c r="FR6" s="95"/>
      <c r="FS6" s="95"/>
      <c r="FT6" s="95"/>
      <c r="FU6" s="95"/>
      <c r="FV6" s="95"/>
      <c r="FW6" s="95"/>
      <c r="FX6" s="95"/>
      <c r="FY6" s="95"/>
      <c r="FZ6" s="95"/>
      <c r="GA6" s="95"/>
      <c r="GB6" s="95"/>
      <c r="GC6" s="95"/>
      <c r="GD6" s="95"/>
      <c r="GE6" s="95"/>
      <c r="GF6" s="95"/>
      <c r="GG6" s="95"/>
      <c r="GH6" s="95"/>
      <c r="GI6" s="95"/>
      <c r="GJ6" s="95"/>
      <c r="GK6" s="95"/>
      <c r="GL6" s="95"/>
      <c r="GM6" s="95"/>
      <c r="GN6" s="95"/>
      <c r="GO6" s="95"/>
      <c r="GP6" s="95"/>
      <c r="GQ6" s="95"/>
      <c r="GR6" s="95"/>
      <c r="GS6" s="95"/>
      <c r="GT6" s="95"/>
      <c r="GU6" s="95"/>
      <c r="GV6" s="95"/>
      <c r="GW6" s="95"/>
      <c r="GX6" s="95"/>
      <c r="GY6" s="95"/>
      <c r="GZ6" s="95"/>
      <c r="HA6" s="95"/>
      <c r="HB6" s="95"/>
      <c r="HC6" s="95"/>
      <c r="HD6" s="95"/>
      <c r="HE6" s="95"/>
      <c r="HF6" s="95"/>
      <c r="HG6" s="95"/>
      <c r="HH6" s="95"/>
      <c r="HI6" s="95"/>
      <c r="HJ6" s="95"/>
      <c r="HK6" s="95"/>
      <c r="HL6" s="95"/>
      <c r="HM6" s="95"/>
      <c r="HN6" s="95"/>
      <c r="HO6" s="95"/>
      <c r="HP6" s="95"/>
      <c r="HQ6" s="95"/>
      <c r="HR6" s="95"/>
      <c r="HS6" s="95"/>
      <c r="HT6" s="95"/>
      <c r="HU6" s="95"/>
      <c r="HV6" s="95"/>
      <c r="HW6" s="95"/>
      <c r="HX6" s="95"/>
      <c r="HY6" s="95"/>
      <c r="HZ6" s="95"/>
      <c r="IA6" s="95"/>
      <c r="IB6" s="95"/>
      <c r="IC6" s="95"/>
      <c r="ID6" s="95"/>
      <c r="IE6" s="95"/>
      <c r="IF6" s="95"/>
      <c r="IG6" s="95"/>
      <c r="IH6" s="95"/>
      <c r="II6" s="95"/>
      <c r="IJ6" s="95"/>
      <c r="IK6" s="95"/>
      <c r="IL6" s="95"/>
      <c r="IM6" s="95"/>
      <c r="IN6" s="95"/>
      <c r="IO6" s="95"/>
      <c r="IP6" s="95"/>
      <c r="IQ6" s="95"/>
      <c r="IR6" s="95"/>
      <c r="IS6" s="95"/>
      <c r="IT6" s="95"/>
      <c r="IU6" s="95"/>
      <c r="IV6" s="95"/>
      <c r="IW6" s="95"/>
    </row>
    <row r="7" s="96" customFormat="true" ht="23.1" hidden="false" customHeight="false" outlineLevel="0" collapsed="false">
      <c r="A7" s="97" t="s">
        <v>264</v>
      </c>
      <c r="B7" s="97" t="s">
        <v>258</v>
      </c>
      <c r="C7" s="97" t="n">
        <v>100</v>
      </c>
      <c r="D7" s="97" t="n">
        <v>9.2</v>
      </c>
      <c r="E7" s="97" t="n">
        <v>0.27</v>
      </c>
      <c r="F7" s="97" t="n">
        <v>180</v>
      </c>
      <c r="G7" s="97" t="n">
        <v>135</v>
      </c>
      <c r="H7" s="97" t="n">
        <v>50</v>
      </c>
      <c r="I7" s="97" t="n">
        <v>50</v>
      </c>
      <c r="J7" s="97" t="s">
        <v>265</v>
      </c>
      <c r="K7" s="97" t="s">
        <v>260</v>
      </c>
      <c r="L7" s="98" t="s">
        <v>266</v>
      </c>
      <c r="M7" s="97" t="n">
        <v>150</v>
      </c>
      <c r="N7" s="99" t="s">
        <v>262</v>
      </c>
      <c r="O7" s="99" t="n">
        <v>0.35</v>
      </c>
      <c r="P7" s="100" t="s">
        <v>263</v>
      </c>
      <c r="Q7" s="100" t="n">
        <v>2.3</v>
      </c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5"/>
      <c r="AS7" s="95"/>
      <c r="AT7" s="95"/>
      <c r="AU7" s="95"/>
      <c r="AV7" s="95"/>
      <c r="AW7" s="95"/>
      <c r="AX7" s="95"/>
      <c r="AY7" s="95"/>
      <c r="AZ7" s="95"/>
      <c r="BA7" s="95"/>
      <c r="BB7" s="95"/>
      <c r="BC7" s="95"/>
      <c r="BD7" s="95"/>
      <c r="BE7" s="95"/>
      <c r="BF7" s="95"/>
      <c r="BG7" s="95"/>
      <c r="BH7" s="95"/>
      <c r="BI7" s="95"/>
      <c r="BJ7" s="95"/>
      <c r="BK7" s="95"/>
      <c r="BL7" s="95"/>
      <c r="BM7" s="95"/>
      <c r="BN7" s="95"/>
      <c r="BO7" s="95"/>
      <c r="BP7" s="95"/>
      <c r="BQ7" s="95"/>
      <c r="BR7" s="95"/>
      <c r="BS7" s="95"/>
      <c r="BT7" s="95"/>
      <c r="BU7" s="95"/>
      <c r="BV7" s="95"/>
      <c r="BW7" s="95"/>
      <c r="BX7" s="95"/>
      <c r="BY7" s="95"/>
      <c r="BZ7" s="95"/>
      <c r="CA7" s="95"/>
      <c r="CB7" s="95"/>
      <c r="CC7" s="95"/>
      <c r="CD7" s="95"/>
      <c r="CE7" s="95"/>
      <c r="CF7" s="95"/>
      <c r="CG7" s="95"/>
      <c r="CH7" s="95"/>
      <c r="CI7" s="95"/>
      <c r="CJ7" s="95"/>
      <c r="CK7" s="95"/>
      <c r="CL7" s="95"/>
      <c r="CM7" s="95"/>
      <c r="CN7" s="95"/>
      <c r="CO7" s="95"/>
      <c r="CP7" s="95"/>
      <c r="CQ7" s="95"/>
      <c r="CR7" s="95"/>
      <c r="CS7" s="95"/>
      <c r="CT7" s="95"/>
      <c r="CU7" s="95"/>
      <c r="CV7" s="95"/>
      <c r="CW7" s="95"/>
      <c r="CX7" s="95"/>
      <c r="CY7" s="95"/>
      <c r="CZ7" s="95"/>
      <c r="DA7" s="95"/>
      <c r="DB7" s="95"/>
      <c r="DC7" s="95"/>
      <c r="DD7" s="95"/>
      <c r="DE7" s="95"/>
      <c r="DF7" s="95"/>
      <c r="DG7" s="95"/>
      <c r="DH7" s="95"/>
      <c r="DI7" s="95"/>
      <c r="DJ7" s="95"/>
      <c r="DK7" s="95"/>
      <c r="DL7" s="95"/>
      <c r="DM7" s="95"/>
      <c r="DN7" s="95"/>
      <c r="DO7" s="95"/>
      <c r="DP7" s="95"/>
      <c r="DQ7" s="95"/>
      <c r="DR7" s="95"/>
      <c r="DS7" s="95"/>
      <c r="DT7" s="95"/>
      <c r="DU7" s="95"/>
      <c r="DV7" s="95"/>
      <c r="DW7" s="95"/>
      <c r="DX7" s="95"/>
      <c r="DY7" s="95"/>
      <c r="DZ7" s="95"/>
      <c r="EA7" s="95"/>
      <c r="EB7" s="95"/>
      <c r="EC7" s="95"/>
      <c r="ED7" s="95"/>
      <c r="EE7" s="95"/>
      <c r="EF7" s="95"/>
      <c r="EG7" s="95"/>
      <c r="EH7" s="95"/>
      <c r="EI7" s="95"/>
      <c r="EJ7" s="95"/>
      <c r="EK7" s="95"/>
      <c r="EL7" s="95"/>
      <c r="EM7" s="95"/>
      <c r="EN7" s="95"/>
      <c r="EO7" s="95"/>
      <c r="EP7" s="95"/>
      <c r="EQ7" s="95"/>
      <c r="ER7" s="95"/>
      <c r="ES7" s="95"/>
      <c r="ET7" s="95"/>
      <c r="EU7" s="95"/>
      <c r="EV7" s="95"/>
      <c r="EW7" s="95"/>
      <c r="EX7" s="95"/>
      <c r="EY7" s="95"/>
      <c r="EZ7" s="95"/>
      <c r="FA7" s="95"/>
      <c r="FB7" s="95"/>
      <c r="FC7" s="95"/>
      <c r="FD7" s="95"/>
      <c r="FE7" s="95"/>
      <c r="FF7" s="95"/>
      <c r="FG7" s="95"/>
      <c r="FH7" s="95"/>
      <c r="FI7" s="95"/>
      <c r="FJ7" s="95"/>
      <c r="FK7" s="95"/>
      <c r="FL7" s="95"/>
      <c r="FM7" s="95"/>
      <c r="FN7" s="95"/>
      <c r="FO7" s="95"/>
      <c r="FP7" s="95"/>
      <c r="FQ7" s="95"/>
      <c r="FR7" s="95"/>
      <c r="FS7" s="95"/>
      <c r="FT7" s="95"/>
      <c r="FU7" s="95"/>
      <c r="FV7" s="95"/>
      <c r="FW7" s="95"/>
      <c r="FX7" s="95"/>
      <c r="FY7" s="95"/>
      <c r="FZ7" s="95"/>
      <c r="GA7" s="95"/>
      <c r="GB7" s="95"/>
      <c r="GC7" s="95"/>
      <c r="GD7" s="95"/>
      <c r="GE7" s="95"/>
      <c r="GF7" s="95"/>
      <c r="GG7" s="95"/>
      <c r="GH7" s="95"/>
      <c r="GI7" s="95"/>
      <c r="GJ7" s="95"/>
      <c r="GK7" s="95"/>
      <c r="GL7" s="95"/>
      <c r="GM7" s="95"/>
      <c r="GN7" s="95"/>
      <c r="GO7" s="95"/>
      <c r="GP7" s="95"/>
      <c r="GQ7" s="95"/>
      <c r="GR7" s="95"/>
      <c r="GS7" s="95"/>
      <c r="GT7" s="95"/>
      <c r="GU7" s="95"/>
      <c r="GV7" s="95"/>
      <c r="GW7" s="95"/>
      <c r="GX7" s="95"/>
      <c r="GY7" s="95"/>
      <c r="GZ7" s="95"/>
      <c r="HA7" s="95"/>
      <c r="HB7" s="95"/>
      <c r="HC7" s="95"/>
      <c r="HD7" s="95"/>
      <c r="HE7" s="95"/>
      <c r="HF7" s="95"/>
      <c r="HG7" s="95"/>
      <c r="HH7" s="95"/>
      <c r="HI7" s="95"/>
      <c r="HJ7" s="95"/>
      <c r="HK7" s="95"/>
      <c r="HL7" s="95"/>
      <c r="HM7" s="95"/>
      <c r="HN7" s="95"/>
      <c r="HO7" s="95"/>
      <c r="HP7" s="95"/>
      <c r="HQ7" s="95"/>
      <c r="HR7" s="95"/>
      <c r="HS7" s="95"/>
      <c r="HT7" s="95"/>
      <c r="HU7" s="95"/>
      <c r="HV7" s="95"/>
      <c r="HW7" s="95"/>
      <c r="HX7" s="95"/>
      <c r="HY7" s="95"/>
      <c r="HZ7" s="95"/>
      <c r="IA7" s="95"/>
      <c r="IB7" s="95"/>
      <c r="IC7" s="95"/>
      <c r="ID7" s="95"/>
      <c r="IE7" s="95"/>
      <c r="IF7" s="95"/>
      <c r="IG7" s="95"/>
      <c r="IH7" s="95"/>
      <c r="II7" s="95"/>
      <c r="IJ7" s="95"/>
      <c r="IK7" s="95"/>
      <c r="IL7" s="95"/>
      <c r="IM7" s="95"/>
      <c r="IN7" s="95"/>
      <c r="IO7" s="95"/>
      <c r="IP7" s="95"/>
      <c r="IQ7" s="95"/>
      <c r="IR7" s="95"/>
      <c r="IS7" s="95"/>
      <c r="IT7" s="95"/>
      <c r="IU7" s="95"/>
      <c r="IV7" s="95"/>
      <c r="IW7" s="95"/>
    </row>
    <row r="8" s="96" customFormat="true" ht="23.1" hidden="false" customHeight="false" outlineLevel="0" collapsed="false">
      <c r="A8" s="97" t="s">
        <v>267</v>
      </c>
      <c r="B8" s="97" t="s">
        <v>258</v>
      </c>
      <c r="C8" s="97" t="n">
        <v>100</v>
      </c>
      <c r="D8" s="97" t="n">
        <v>14</v>
      </c>
      <c r="E8" s="97" t="n">
        <v>0.18</v>
      </c>
      <c r="F8" s="97" t="n">
        <v>400</v>
      </c>
      <c r="G8" s="97" t="n">
        <v>260</v>
      </c>
      <c r="H8" s="97" t="n">
        <v>88</v>
      </c>
      <c r="I8" s="97" t="n">
        <v>50</v>
      </c>
      <c r="J8" s="97" t="s">
        <v>268</v>
      </c>
      <c r="K8" s="97" t="s">
        <v>269</v>
      </c>
      <c r="L8" s="98" t="s">
        <v>270</v>
      </c>
      <c r="M8" s="97" t="n">
        <v>150</v>
      </c>
      <c r="N8" s="99" t="s">
        <v>262</v>
      </c>
      <c r="O8" s="99" t="n">
        <v>0.35</v>
      </c>
      <c r="P8" s="100" t="s">
        <v>263</v>
      </c>
      <c r="Q8" s="100" t="n">
        <v>2.3</v>
      </c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95"/>
      <c r="AS8" s="95"/>
      <c r="AT8" s="95"/>
      <c r="AU8" s="95"/>
      <c r="AV8" s="95"/>
      <c r="AW8" s="95"/>
      <c r="AX8" s="95"/>
      <c r="AY8" s="95"/>
      <c r="AZ8" s="95"/>
      <c r="BA8" s="95"/>
      <c r="BB8" s="95"/>
      <c r="BC8" s="95"/>
      <c r="BD8" s="95"/>
      <c r="BE8" s="95"/>
      <c r="BF8" s="95"/>
      <c r="BG8" s="95"/>
      <c r="BH8" s="95"/>
      <c r="BI8" s="95"/>
      <c r="BJ8" s="95"/>
      <c r="BK8" s="95"/>
      <c r="BL8" s="95"/>
      <c r="BM8" s="95"/>
      <c r="BN8" s="95"/>
      <c r="BO8" s="95"/>
      <c r="BP8" s="95"/>
      <c r="BQ8" s="95"/>
      <c r="BR8" s="95"/>
      <c r="BS8" s="95"/>
      <c r="BT8" s="95"/>
      <c r="BU8" s="95"/>
      <c r="BV8" s="95"/>
      <c r="BW8" s="95"/>
      <c r="BX8" s="95"/>
      <c r="BY8" s="95"/>
      <c r="BZ8" s="95"/>
      <c r="CA8" s="95"/>
      <c r="CB8" s="95"/>
      <c r="CC8" s="95"/>
      <c r="CD8" s="95"/>
      <c r="CE8" s="95"/>
      <c r="CF8" s="95"/>
      <c r="CG8" s="95"/>
      <c r="CH8" s="95"/>
      <c r="CI8" s="95"/>
      <c r="CJ8" s="95"/>
      <c r="CK8" s="95"/>
      <c r="CL8" s="95"/>
      <c r="CM8" s="95"/>
      <c r="CN8" s="95"/>
      <c r="CO8" s="95"/>
      <c r="CP8" s="95"/>
      <c r="CQ8" s="95"/>
      <c r="CR8" s="95"/>
      <c r="CS8" s="95"/>
      <c r="CT8" s="95"/>
      <c r="CU8" s="95"/>
      <c r="CV8" s="95"/>
      <c r="CW8" s="95"/>
      <c r="CX8" s="95"/>
      <c r="CY8" s="95"/>
      <c r="CZ8" s="95"/>
      <c r="DA8" s="95"/>
      <c r="DB8" s="95"/>
      <c r="DC8" s="95"/>
      <c r="DD8" s="95"/>
      <c r="DE8" s="95"/>
      <c r="DF8" s="95"/>
      <c r="DG8" s="95"/>
      <c r="DH8" s="95"/>
      <c r="DI8" s="95"/>
      <c r="DJ8" s="95"/>
      <c r="DK8" s="95"/>
      <c r="DL8" s="95"/>
      <c r="DM8" s="95"/>
      <c r="DN8" s="95"/>
      <c r="DO8" s="95"/>
      <c r="DP8" s="95"/>
      <c r="DQ8" s="95"/>
      <c r="DR8" s="95"/>
      <c r="DS8" s="95"/>
      <c r="DT8" s="95"/>
      <c r="DU8" s="95"/>
      <c r="DV8" s="95"/>
      <c r="DW8" s="95"/>
      <c r="DX8" s="95"/>
      <c r="DY8" s="95"/>
      <c r="DZ8" s="95"/>
      <c r="EA8" s="95"/>
      <c r="EB8" s="95"/>
      <c r="EC8" s="95"/>
      <c r="ED8" s="95"/>
      <c r="EE8" s="95"/>
      <c r="EF8" s="95"/>
      <c r="EG8" s="95"/>
      <c r="EH8" s="95"/>
      <c r="EI8" s="95"/>
      <c r="EJ8" s="95"/>
      <c r="EK8" s="95"/>
      <c r="EL8" s="95"/>
      <c r="EM8" s="95"/>
      <c r="EN8" s="95"/>
      <c r="EO8" s="95"/>
      <c r="EP8" s="95"/>
      <c r="EQ8" s="95"/>
      <c r="ER8" s="95"/>
      <c r="ES8" s="95"/>
      <c r="ET8" s="95"/>
      <c r="EU8" s="95"/>
      <c r="EV8" s="95"/>
      <c r="EW8" s="95"/>
      <c r="EX8" s="95"/>
      <c r="EY8" s="95"/>
      <c r="EZ8" s="95"/>
      <c r="FA8" s="95"/>
      <c r="FB8" s="95"/>
      <c r="FC8" s="95"/>
      <c r="FD8" s="95"/>
      <c r="FE8" s="95"/>
      <c r="FF8" s="95"/>
      <c r="FG8" s="95"/>
      <c r="FH8" s="95"/>
      <c r="FI8" s="95"/>
      <c r="FJ8" s="95"/>
      <c r="FK8" s="95"/>
      <c r="FL8" s="95"/>
      <c r="FM8" s="95"/>
      <c r="FN8" s="95"/>
      <c r="FO8" s="95"/>
      <c r="FP8" s="95"/>
      <c r="FQ8" s="95"/>
      <c r="FR8" s="95"/>
      <c r="FS8" s="95"/>
      <c r="FT8" s="95"/>
      <c r="FU8" s="95"/>
      <c r="FV8" s="95"/>
      <c r="FW8" s="95"/>
      <c r="FX8" s="95"/>
      <c r="FY8" s="95"/>
      <c r="FZ8" s="95"/>
      <c r="GA8" s="95"/>
      <c r="GB8" s="95"/>
      <c r="GC8" s="95"/>
      <c r="GD8" s="95"/>
      <c r="GE8" s="95"/>
      <c r="GF8" s="95"/>
      <c r="GG8" s="95"/>
      <c r="GH8" s="95"/>
      <c r="GI8" s="95"/>
      <c r="GJ8" s="95"/>
      <c r="GK8" s="95"/>
      <c r="GL8" s="95"/>
      <c r="GM8" s="95"/>
      <c r="GN8" s="95"/>
      <c r="GO8" s="95"/>
      <c r="GP8" s="95"/>
      <c r="GQ8" s="95"/>
      <c r="GR8" s="95"/>
      <c r="GS8" s="95"/>
      <c r="GT8" s="95"/>
      <c r="GU8" s="95"/>
      <c r="GV8" s="95"/>
      <c r="GW8" s="95"/>
      <c r="GX8" s="95"/>
      <c r="GY8" s="95"/>
      <c r="GZ8" s="95"/>
      <c r="HA8" s="95"/>
      <c r="HB8" s="95"/>
      <c r="HC8" s="95"/>
      <c r="HD8" s="95"/>
      <c r="HE8" s="95"/>
      <c r="HF8" s="95"/>
      <c r="HG8" s="95"/>
      <c r="HH8" s="95"/>
      <c r="HI8" s="95"/>
      <c r="HJ8" s="95"/>
      <c r="HK8" s="95"/>
      <c r="HL8" s="95"/>
      <c r="HM8" s="95"/>
      <c r="HN8" s="95"/>
      <c r="HO8" s="95"/>
      <c r="HP8" s="95"/>
      <c r="HQ8" s="95"/>
      <c r="HR8" s="95"/>
      <c r="HS8" s="95"/>
      <c r="HT8" s="95"/>
      <c r="HU8" s="95"/>
      <c r="HV8" s="95"/>
      <c r="HW8" s="95"/>
      <c r="HX8" s="95"/>
      <c r="HY8" s="95"/>
      <c r="HZ8" s="95"/>
      <c r="IA8" s="95"/>
      <c r="IB8" s="95"/>
      <c r="IC8" s="95"/>
      <c r="ID8" s="95"/>
      <c r="IE8" s="95"/>
      <c r="IF8" s="95"/>
      <c r="IG8" s="95"/>
      <c r="IH8" s="95"/>
      <c r="II8" s="95"/>
      <c r="IJ8" s="95"/>
      <c r="IK8" s="95"/>
      <c r="IL8" s="95"/>
      <c r="IM8" s="95"/>
      <c r="IN8" s="95"/>
      <c r="IO8" s="95"/>
      <c r="IP8" s="95"/>
      <c r="IQ8" s="95"/>
      <c r="IR8" s="95"/>
      <c r="IS8" s="95"/>
      <c r="IT8" s="95"/>
      <c r="IU8" s="95"/>
      <c r="IV8" s="95"/>
      <c r="IW8" s="95"/>
    </row>
    <row r="9" s="96" customFormat="true" ht="23.1" hidden="false" customHeight="false" outlineLevel="0" collapsed="false">
      <c r="A9" s="97" t="s">
        <v>271</v>
      </c>
      <c r="B9" s="97" t="s">
        <v>258</v>
      </c>
      <c r="C9" s="97" t="n">
        <v>100</v>
      </c>
      <c r="D9" s="97" t="n">
        <v>28</v>
      </c>
      <c r="E9" s="97" t="n">
        <v>0.077</v>
      </c>
      <c r="F9" s="97" t="n">
        <v>800</v>
      </c>
      <c r="G9" s="97" t="n">
        <v>450</v>
      </c>
      <c r="H9" s="97" t="n">
        <v>150</v>
      </c>
      <c r="I9" s="97" t="n">
        <v>40</v>
      </c>
      <c r="J9" s="97" t="s">
        <v>272</v>
      </c>
      <c r="K9" s="97" t="s">
        <v>273</v>
      </c>
      <c r="L9" s="98" t="s">
        <v>274</v>
      </c>
      <c r="M9" s="97" t="n">
        <v>150</v>
      </c>
      <c r="N9" s="99" t="s">
        <v>262</v>
      </c>
      <c r="O9" s="99" t="n">
        <v>0.35</v>
      </c>
      <c r="P9" s="100" t="s">
        <v>263</v>
      </c>
      <c r="Q9" s="100" t="n">
        <v>2.3</v>
      </c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95"/>
      <c r="AS9" s="95"/>
      <c r="AT9" s="95"/>
      <c r="AU9" s="95"/>
      <c r="AV9" s="95"/>
      <c r="AW9" s="95"/>
      <c r="AX9" s="95"/>
      <c r="AY9" s="95"/>
      <c r="AZ9" s="95"/>
      <c r="BA9" s="95"/>
      <c r="BB9" s="95"/>
      <c r="BC9" s="95"/>
      <c r="BD9" s="95"/>
      <c r="BE9" s="95"/>
      <c r="BF9" s="95"/>
      <c r="BG9" s="95"/>
      <c r="BH9" s="95"/>
      <c r="BI9" s="95"/>
      <c r="BJ9" s="95"/>
      <c r="BK9" s="95"/>
      <c r="BL9" s="95"/>
      <c r="BM9" s="95"/>
      <c r="BN9" s="95"/>
      <c r="BO9" s="95"/>
      <c r="BP9" s="95"/>
      <c r="BQ9" s="95"/>
      <c r="BR9" s="95"/>
      <c r="BS9" s="95"/>
      <c r="BT9" s="95"/>
      <c r="BU9" s="95"/>
      <c r="BV9" s="95"/>
      <c r="BW9" s="95"/>
      <c r="BX9" s="95"/>
      <c r="BY9" s="95"/>
      <c r="BZ9" s="95"/>
      <c r="CA9" s="95"/>
      <c r="CB9" s="95"/>
      <c r="CC9" s="95"/>
      <c r="CD9" s="95"/>
      <c r="CE9" s="95"/>
      <c r="CF9" s="95"/>
      <c r="CG9" s="95"/>
      <c r="CH9" s="95"/>
      <c r="CI9" s="95"/>
      <c r="CJ9" s="95"/>
      <c r="CK9" s="95"/>
      <c r="CL9" s="95"/>
      <c r="CM9" s="95"/>
      <c r="CN9" s="95"/>
      <c r="CO9" s="95"/>
      <c r="CP9" s="95"/>
      <c r="CQ9" s="95"/>
      <c r="CR9" s="95"/>
      <c r="CS9" s="95"/>
      <c r="CT9" s="95"/>
      <c r="CU9" s="95"/>
      <c r="CV9" s="95"/>
      <c r="CW9" s="95"/>
      <c r="CX9" s="95"/>
      <c r="CY9" s="95"/>
      <c r="CZ9" s="95"/>
      <c r="DA9" s="95"/>
      <c r="DB9" s="95"/>
      <c r="DC9" s="95"/>
      <c r="DD9" s="95"/>
      <c r="DE9" s="95"/>
      <c r="DF9" s="95"/>
      <c r="DG9" s="95"/>
      <c r="DH9" s="95"/>
      <c r="DI9" s="95"/>
      <c r="DJ9" s="95"/>
      <c r="DK9" s="95"/>
      <c r="DL9" s="95"/>
      <c r="DM9" s="95"/>
      <c r="DN9" s="95"/>
      <c r="DO9" s="95"/>
      <c r="DP9" s="95"/>
      <c r="DQ9" s="95"/>
      <c r="DR9" s="95"/>
      <c r="DS9" s="95"/>
      <c r="DT9" s="95"/>
      <c r="DU9" s="95"/>
      <c r="DV9" s="95"/>
      <c r="DW9" s="95"/>
      <c r="DX9" s="95"/>
      <c r="DY9" s="95"/>
      <c r="DZ9" s="95"/>
      <c r="EA9" s="95"/>
      <c r="EB9" s="95"/>
      <c r="EC9" s="95"/>
      <c r="ED9" s="95"/>
      <c r="EE9" s="95"/>
      <c r="EF9" s="95"/>
      <c r="EG9" s="95"/>
      <c r="EH9" s="95"/>
      <c r="EI9" s="95"/>
      <c r="EJ9" s="95"/>
      <c r="EK9" s="95"/>
      <c r="EL9" s="95"/>
      <c r="EM9" s="95"/>
      <c r="EN9" s="95"/>
      <c r="EO9" s="95"/>
      <c r="EP9" s="95"/>
      <c r="EQ9" s="95"/>
      <c r="ER9" s="95"/>
      <c r="ES9" s="95"/>
      <c r="ET9" s="95"/>
      <c r="EU9" s="95"/>
      <c r="EV9" s="95"/>
      <c r="EW9" s="95"/>
      <c r="EX9" s="95"/>
      <c r="EY9" s="95"/>
      <c r="EZ9" s="95"/>
      <c r="FA9" s="95"/>
      <c r="FB9" s="95"/>
      <c r="FC9" s="95"/>
      <c r="FD9" s="95"/>
      <c r="FE9" s="95"/>
      <c r="FF9" s="95"/>
      <c r="FG9" s="95"/>
      <c r="FH9" s="95"/>
      <c r="FI9" s="95"/>
      <c r="FJ9" s="95"/>
      <c r="FK9" s="95"/>
      <c r="FL9" s="95"/>
      <c r="FM9" s="95"/>
      <c r="FN9" s="95"/>
      <c r="FO9" s="95"/>
      <c r="FP9" s="95"/>
      <c r="FQ9" s="95"/>
      <c r="FR9" s="95"/>
      <c r="FS9" s="95"/>
      <c r="FT9" s="95"/>
      <c r="FU9" s="95"/>
      <c r="FV9" s="95"/>
      <c r="FW9" s="95"/>
      <c r="FX9" s="95"/>
      <c r="FY9" s="95"/>
      <c r="FZ9" s="95"/>
      <c r="GA9" s="95"/>
      <c r="GB9" s="95"/>
      <c r="GC9" s="95"/>
      <c r="GD9" s="95"/>
      <c r="GE9" s="95"/>
      <c r="GF9" s="95"/>
      <c r="GG9" s="95"/>
      <c r="GH9" s="95"/>
      <c r="GI9" s="95"/>
      <c r="GJ9" s="95"/>
      <c r="GK9" s="95"/>
      <c r="GL9" s="95"/>
      <c r="GM9" s="95"/>
      <c r="GN9" s="95"/>
      <c r="GO9" s="95"/>
      <c r="GP9" s="95"/>
      <c r="GQ9" s="95"/>
      <c r="GR9" s="95"/>
      <c r="GS9" s="95"/>
      <c r="GT9" s="95"/>
      <c r="GU9" s="95"/>
      <c r="GV9" s="95"/>
      <c r="GW9" s="95"/>
      <c r="GX9" s="95"/>
      <c r="GY9" s="95"/>
      <c r="GZ9" s="95"/>
      <c r="HA9" s="95"/>
      <c r="HB9" s="95"/>
      <c r="HC9" s="95"/>
      <c r="HD9" s="95"/>
      <c r="HE9" s="95"/>
      <c r="HF9" s="95"/>
      <c r="HG9" s="95"/>
      <c r="HH9" s="95"/>
      <c r="HI9" s="95"/>
      <c r="HJ9" s="95"/>
      <c r="HK9" s="95"/>
      <c r="HL9" s="95"/>
      <c r="HM9" s="95"/>
      <c r="HN9" s="95"/>
      <c r="HO9" s="95"/>
      <c r="HP9" s="95"/>
      <c r="HQ9" s="95"/>
      <c r="HR9" s="95"/>
      <c r="HS9" s="95"/>
      <c r="HT9" s="95"/>
      <c r="HU9" s="95"/>
      <c r="HV9" s="95"/>
      <c r="HW9" s="95"/>
      <c r="HX9" s="95"/>
      <c r="HY9" s="95"/>
      <c r="HZ9" s="95"/>
      <c r="IA9" s="95"/>
      <c r="IB9" s="95"/>
      <c r="IC9" s="95"/>
      <c r="ID9" s="95"/>
      <c r="IE9" s="95"/>
      <c r="IF9" s="95"/>
      <c r="IG9" s="95"/>
      <c r="IH9" s="95"/>
      <c r="II9" s="95"/>
      <c r="IJ9" s="95"/>
      <c r="IK9" s="95"/>
      <c r="IL9" s="95"/>
      <c r="IM9" s="95"/>
      <c r="IN9" s="95"/>
      <c r="IO9" s="95"/>
      <c r="IP9" s="95"/>
      <c r="IQ9" s="95"/>
      <c r="IR9" s="95"/>
      <c r="IS9" s="95"/>
      <c r="IT9" s="95"/>
      <c r="IU9" s="95"/>
      <c r="IV9" s="95"/>
      <c r="IW9" s="95"/>
    </row>
    <row r="10" s="96" customFormat="true" ht="23.1" hidden="false" customHeight="false" outlineLevel="0" collapsed="false">
      <c r="A10" s="97" t="s">
        <v>275</v>
      </c>
      <c r="B10" s="97" t="s">
        <v>258</v>
      </c>
      <c r="C10" s="97" t="n">
        <v>55</v>
      </c>
      <c r="D10" s="97" t="n">
        <v>49</v>
      </c>
      <c r="E10" s="97" t="n">
        <v>0.028</v>
      </c>
      <c r="F10" s="97" t="n">
        <v>3050</v>
      </c>
      <c r="G10" s="97" t="n">
        <v>930</v>
      </c>
      <c r="H10" s="97" t="n">
        <v>107</v>
      </c>
      <c r="I10" s="97" t="n">
        <v>30</v>
      </c>
      <c r="J10" s="97" t="s">
        <v>276</v>
      </c>
      <c r="K10" s="97" t="s">
        <v>277</v>
      </c>
      <c r="L10" s="98" t="s">
        <v>278</v>
      </c>
      <c r="M10" s="97" t="n">
        <v>150</v>
      </c>
      <c r="N10" s="99" t="s">
        <v>262</v>
      </c>
      <c r="O10" s="99" t="n">
        <v>0.35</v>
      </c>
      <c r="P10" s="100" t="s">
        <v>263</v>
      </c>
      <c r="Q10" s="100" t="n">
        <v>2.3</v>
      </c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95"/>
      <c r="AS10" s="95"/>
      <c r="AT10" s="95"/>
      <c r="AU10" s="95"/>
      <c r="AV10" s="95"/>
      <c r="AW10" s="95"/>
      <c r="AX10" s="95"/>
      <c r="AY10" s="95"/>
      <c r="AZ10" s="95"/>
      <c r="BA10" s="95"/>
      <c r="BB10" s="95"/>
      <c r="BC10" s="95"/>
      <c r="BD10" s="95"/>
      <c r="BE10" s="95"/>
      <c r="BF10" s="95"/>
      <c r="BG10" s="95"/>
      <c r="BH10" s="95"/>
      <c r="BI10" s="95"/>
      <c r="BJ10" s="95"/>
      <c r="BK10" s="95"/>
      <c r="BL10" s="95"/>
      <c r="BM10" s="95"/>
      <c r="BN10" s="95"/>
      <c r="BO10" s="95"/>
      <c r="BP10" s="95"/>
      <c r="BQ10" s="95"/>
      <c r="BR10" s="95"/>
      <c r="BS10" s="95"/>
      <c r="BT10" s="95"/>
      <c r="BU10" s="95"/>
      <c r="BV10" s="95"/>
      <c r="BW10" s="95"/>
      <c r="BX10" s="95"/>
      <c r="BY10" s="95"/>
      <c r="BZ10" s="95"/>
      <c r="CA10" s="95"/>
      <c r="CB10" s="95"/>
      <c r="CC10" s="95"/>
      <c r="CD10" s="95"/>
      <c r="CE10" s="95"/>
      <c r="CF10" s="95"/>
      <c r="CG10" s="95"/>
      <c r="CH10" s="95"/>
      <c r="CI10" s="95"/>
      <c r="CJ10" s="95"/>
      <c r="CK10" s="95"/>
      <c r="CL10" s="95"/>
      <c r="CM10" s="95"/>
      <c r="CN10" s="95"/>
      <c r="CO10" s="95"/>
      <c r="CP10" s="95"/>
      <c r="CQ10" s="95"/>
      <c r="CR10" s="95"/>
      <c r="CS10" s="95"/>
      <c r="CT10" s="95"/>
      <c r="CU10" s="95"/>
      <c r="CV10" s="95"/>
      <c r="CW10" s="95"/>
      <c r="CX10" s="95"/>
      <c r="CY10" s="95"/>
      <c r="CZ10" s="95"/>
      <c r="DA10" s="95"/>
      <c r="DB10" s="95"/>
      <c r="DC10" s="95"/>
      <c r="DD10" s="95"/>
      <c r="DE10" s="95"/>
      <c r="DF10" s="95"/>
      <c r="DG10" s="95"/>
      <c r="DH10" s="95"/>
      <c r="DI10" s="95"/>
      <c r="DJ10" s="95"/>
      <c r="DK10" s="95"/>
      <c r="DL10" s="95"/>
      <c r="DM10" s="95"/>
      <c r="DN10" s="95"/>
      <c r="DO10" s="95"/>
      <c r="DP10" s="95"/>
      <c r="DQ10" s="95"/>
      <c r="DR10" s="95"/>
      <c r="DS10" s="95"/>
      <c r="DT10" s="95"/>
      <c r="DU10" s="95"/>
      <c r="DV10" s="95"/>
      <c r="DW10" s="95"/>
      <c r="DX10" s="95"/>
      <c r="DY10" s="95"/>
      <c r="DZ10" s="95"/>
      <c r="EA10" s="95"/>
      <c r="EB10" s="95"/>
      <c r="EC10" s="95"/>
      <c r="ED10" s="95"/>
      <c r="EE10" s="95"/>
      <c r="EF10" s="95"/>
      <c r="EG10" s="95"/>
      <c r="EH10" s="95"/>
      <c r="EI10" s="95"/>
      <c r="EJ10" s="95"/>
      <c r="EK10" s="95"/>
      <c r="EL10" s="95"/>
      <c r="EM10" s="95"/>
      <c r="EN10" s="95"/>
      <c r="EO10" s="95"/>
      <c r="EP10" s="95"/>
      <c r="EQ10" s="95"/>
      <c r="ER10" s="95"/>
      <c r="ES10" s="95"/>
      <c r="ET10" s="95"/>
      <c r="EU10" s="95"/>
      <c r="EV10" s="95"/>
      <c r="EW10" s="95"/>
      <c r="EX10" s="95"/>
      <c r="EY10" s="95"/>
      <c r="EZ10" s="95"/>
      <c r="FA10" s="95"/>
      <c r="FB10" s="95"/>
      <c r="FC10" s="95"/>
      <c r="FD10" s="95"/>
      <c r="FE10" s="95"/>
      <c r="FF10" s="95"/>
      <c r="FG10" s="95"/>
      <c r="FH10" s="95"/>
      <c r="FI10" s="95"/>
      <c r="FJ10" s="95"/>
      <c r="FK10" s="95"/>
      <c r="FL10" s="95"/>
      <c r="FM10" s="95"/>
      <c r="FN10" s="95"/>
      <c r="FO10" s="95"/>
      <c r="FP10" s="95"/>
      <c r="FQ10" s="95"/>
      <c r="FR10" s="95"/>
      <c r="FS10" s="95"/>
      <c r="FT10" s="95"/>
      <c r="FU10" s="95"/>
      <c r="FV10" s="95"/>
      <c r="FW10" s="95"/>
      <c r="FX10" s="95"/>
      <c r="FY10" s="95"/>
      <c r="FZ10" s="95"/>
      <c r="GA10" s="95"/>
      <c r="GB10" s="95"/>
      <c r="GC10" s="95"/>
      <c r="GD10" s="95"/>
      <c r="GE10" s="95"/>
      <c r="GF10" s="95"/>
      <c r="GG10" s="95"/>
      <c r="GH10" s="95"/>
      <c r="GI10" s="95"/>
      <c r="GJ10" s="95"/>
      <c r="GK10" s="95"/>
      <c r="GL10" s="95"/>
      <c r="GM10" s="95"/>
      <c r="GN10" s="95"/>
      <c r="GO10" s="95"/>
      <c r="GP10" s="95"/>
      <c r="GQ10" s="95"/>
      <c r="GR10" s="95"/>
      <c r="GS10" s="95"/>
      <c r="GT10" s="95"/>
      <c r="GU10" s="95"/>
      <c r="GV10" s="95"/>
      <c r="GW10" s="95"/>
      <c r="GX10" s="95"/>
      <c r="GY10" s="95"/>
      <c r="GZ10" s="95"/>
      <c r="HA10" s="95"/>
      <c r="HB10" s="95"/>
      <c r="HC10" s="95"/>
      <c r="HD10" s="95"/>
      <c r="HE10" s="95"/>
      <c r="HF10" s="95"/>
      <c r="HG10" s="95"/>
      <c r="HH10" s="95"/>
      <c r="HI10" s="95"/>
      <c r="HJ10" s="95"/>
      <c r="HK10" s="95"/>
      <c r="HL10" s="95"/>
      <c r="HM10" s="95"/>
      <c r="HN10" s="95"/>
      <c r="HO10" s="95"/>
      <c r="HP10" s="95"/>
      <c r="HQ10" s="95"/>
      <c r="HR10" s="95"/>
      <c r="HS10" s="95"/>
      <c r="HT10" s="95"/>
      <c r="HU10" s="95"/>
      <c r="HV10" s="95"/>
      <c r="HW10" s="95"/>
      <c r="HX10" s="95"/>
      <c r="HY10" s="95"/>
      <c r="HZ10" s="95"/>
      <c r="IA10" s="95"/>
      <c r="IB10" s="95"/>
      <c r="IC10" s="95"/>
      <c r="ID10" s="95"/>
      <c r="IE10" s="95"/>
      <c r="IF10" s="95"/>
      <c r="IG10" s="95"/>
      <c r="IH10" s="95"/>
      <c r="II10" s="95"/>
      <c r="IJ10" s="95"/>
      <c r="IK10" s="95"/>
      <c r="IL10" s="95"/>
      <c r="IM10" s="95"/>
      <c r="IN10" s="95"/>
      <c r="IO10" s="95"/>
      <c r="IP10" s="95"/>
      <c r="IQ10" s="95"/>
      <c r="IR10" s="95"/>
      <c r="IS10" s="95"/>
      <c r="IT10" s="95"/>
      <c r="IU10" s="95"/>
      <c r="IV10" s="95"/>
      <c r="IW10" s="95"/>
    </row>
    <row r="11" s="96" customFormat="true" ht="23.1" hidden="false" customHeight="false" outlineLevel="0" collapsed="false">
      <c r="A11" s="97" t="s">
        <v>279</v>
      </c>
      <c r="B11" s="97" t="s">
        <v>258</v>
      </c>
      <c r="C11" s="97" t="n">
        <v>100</v>
      </c>
      <c r="D11" s="97" t="n">
        <v>13</v>
      </c>
      <c r="E11" s="97" t="n">
        <v>0.18</v>
      </c>
      <c r="F11" s="97" t="n">
        <v>1060</v>
      </c>
      <c r="G11" s="97" t="n">
        <v>380</v>
      </c>
      <c r="H11" s="97" t="n">
        <v>88</v>
      </c>
      <c r="I11" s="97" t="n">
        <v>60</v>
      </c>
      <c r="J11" s="97" t="s">
        <v>280</v>
      </c>
      <c r="K11" s="97" t="s">
        <v>269</v>
      </c>
      <c r="L11" s="98" t="s">
        <v>281</v>
      </c>
      <c r="M11" s="97" t="n">
        <v>150</v>
      </c>
      <c r="N11" s="99" t="s">
        <v>262</v>
      </c>
      <c r="O11" s="99" t="n">
        <v>0.35</v>
      </c>
      <c r="P11" s="100" t="s">
        <v>263</v>
      </c>
      <c r="Q11" s="100" t="n">
        <v>2.3</v>
      </c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  <c r="BG11" s="95"/>
      <c r="BH11" s="95"/>
      <c r="BI11" s="95"/>
      <c r="BJ11" s="95"/>
      <c r="BK11" s="95"/>
      <c r="BL11" s="95"/>
      <c r="BM11" s="95"/>
      <c r="BN11" s="95"/>
      <c r="BO11" s="95"/>
      <c r="BP11" s="95"/>
      <c r="BQ11" s="95"/>
      <c r="BR11" s="95"/>
      <c r="BS11" s="95"/>
      <c r="BT11" s="95"/>
      <c r="BU11" s="95"/>
      <c r="BV11" s="95"/>
      <c r="BW11" s="95"/>
      <c r="BX11" s="95"/>
      <c r="BY11" s="95"/>
      <c r="BZ11" s="95"/>
      <c r="CA11" s="95"/>
      <c r="CB11" s="95"/>
      <c r="CC11" s="95"/>
      <c r="CD11" s="95"/>
      <c r="CE11" s="95"/>
      <c r="CF11" s="95"/>
      <c r="CG11" s="95"/>
      <c r="CH11" s="95"/>
      <c r="CI11" s="95"/>
      <c r="CJ11" s="95"/>
      <c r="CK11" s="95"/>
      <c r="CL11" s="95"/>
      <c r="CM11" s="95"/>
      <c r="CN11" s="95"/>
      <c r="CO11" s="95"/>
      <c r="CP11" s="95"/>
      <c r="CQ11" s="95"/>
      <c r="CR11" s="95"/>
      <c r="CS11" s="95"/>
      <c r="CT11" s="95"/>
      <c r="CU11" s="95"/>
      <c r="CV11" s="95"/>
      <c r="CW11" s="95"/>
      <c r="CX11" s="95"/>
      <c r="CY11" s="95"/>
      <c r="CZ11" s="95"/>
      <c r="DA11" s="95"/>
      <c r="DB11" s="95"/>
      <c r="DC11" s="95"/>
      <c r="DD11" s="95"/>
      <c r="DE11" s="95"/>
      <c r="DF11" s="95"/>
      <c r="DG11" s="95"/>
      <c r="DH11" s="95"/>
      <c r="DI11" s="95"/>
      <c r="DJ11" s="95"/>
      <c r="DK11" s="95"/>
      <c r="DL11" s="95"/>
      <c r="DM11" s="95"/>
      <c r="DN11" s="95"/>
      <c r="DO11" s="95"/>
      <c r="DP11" s="95"/>
      <c r="DQ11" s="95"/>
      <c r="DR11" s="95"/>
      <c r="DS11" s="95"/>
      <c r="DT11" s="95"/>
      <c r="DU11" s="95"/>
      <c r="DV11" s="95"/>
      <c r="DW11" s="95"/>
      <c r="DX11" s="95"/>
      <c r="DY11" s="95"/>
      <c r="DZ11" s="95"/>
      <c r="EA11" s="95"/>
      <c r="EB11" s="95"/>
      <c r="EC11" s="95"/>
      <c r="ED11" s="95"/>
      <c r="EE11" s="95"/>
      <c r="EF11" s="95"/>
      <c r="EG11" s="95"/>
      <c r="EH11" s="95"/>
      <c r="EI11" s="95"/>
      <c r="EJ11" s="95"/>
      <c r="EK11" s="95"/>
      <c r="EL11" s="95"/>
      <c r="EM11" s="95"/>
      <c r="EN11" s="95"/>
      <c r="EO11" s="95"/>
      <c r="EP11" s="95"/>
      <c r="EQ11" s="95"/>
      <c r="ER11" s="95"/>
      <c r="ES11" s="95"/>
      <c r="ET11" s="95"/>
      <c r="EU11" s="95"/>
      <c r="EV11" s="95"/>
      <c r="EW11" s="95"/>
      <c r="EX11" s="95"/>
      <c r="EY11" s="95"/>
      <c r="EZ11" s="95"/>
      <c r="FA11" s="95"/>
      <c r="FB11" s="95"/>
      <c r="FC11" s="95"/>
      <c r="FD11" s="95"/>
      <c r="FE11" s="95"/>
      <c r="FF11" s="95"/>
      <c r="FG11" s="95"/>
      <c r="FH11" s="95"/>
      <c r="FI11" s="95"/>
      <c r="FJ11" s="95"/>
      <c r="FK11" s="95"/>
      <c r="FL11" s="95"/>
      <c r="FM11" s="95"/>
      <c r="FN11" s="95"/>
      <c r="FO11" s="95"/>
      <c r="FP11" s="95"/>
      <c r="FQ11" s="95"/>
      <c r="FR11" s="95"/>
      <c r="FS11" s="95"/>
      <c r="FT11" s="95"/>
      <c r="FU11" s="95"/>
      <c r="FV11" s="95"/>
      <c r="FW11" s="95"/>
      <c r="FX11" s="95"/>
      <c r="FY11" s="95"/>
      <c r="FZ11" s="95"/>
      <c r="GA11" s="95"/>
      <c r="GB11" s="95"/>
      <c r="GC11" s="95"/>
      <c r="GD11" s="95"/>
      <c r="GE11" s="95"/>
      <c r="GF11" s="95"/>
      <c r="GG11" s="95"/>
      <c r="GH11" s="95"/>
      <c r="GI11" s="95"/>
      <c r="GJ11" s="95"/>
      <c r="GK11" s="95"/>
      <c r="GL11" s="95"/>
      <c r="GM11" s="95"/>
      <c r="GN11" s="95"/>
      <c r="GO11" s="95"/>
      <c r="GP11" s="95"/>
      <c r="GQ11" s="95"/>
      <c r="GR11" s="95"/>
      <c r="GS11" s="95"/>
      <c r="GT11" s="95"/>
      <c r="GU11" s="95"/>
      <c r="GV11" s="95"/>
      <c r="GW11" s="95"/>
      <c r="GX11" s="95"/>
      <c r="GY11" s="95"/>
      <c r="GZ11" s="95"/>
      <c r="HA11" s="95"/>
      <c r="HB11" s="95"/>
      <c r="HC11" s="95"/>
      <c r="HD11" s="95"/>
      <c r="HE11" s="95"/>
      <c r="HF11" s="95"/>
      <c r="HG11" s="95"/>
      <c r="HH11" s="95"/>
      <c r="HI11" s="95"/>
      <c r="HJ11" s="95"/>
      <c r="HK11" s="95"/>
      <c r="HL11" s="95"/>
      <c r="HM11" s="95"/>
      <c r="HN11" s="95"/>
      <c r="HO11" s="95"/>
      <c r="HP11" s="95"/>
      <c r="HQ11" s="95"/>
      <c r="HR11" s="95"/>
      <c r="HS11" s="95"/>
      <c r="HT11" s="95"/>
      <c r="HU11" s="95"/>
      <c r="HV11" s="95"/>
      <c r="HW11" s="95"/>
      <c r="HX11" s="95"/>
      <c r="HY11" s="95"/>
      <c r="HZ11" s="95"/>
      <c r="IA11" s="95"/>
      <c r="IB11" s="95"/>
      <c r="IC11" s="95"/>
      <c r="ID11" s="95"/>
      <c r="IE11" s="95"/>
      <c r="IF11" s="95"/>
      <c r="IG11" s="95"/>
      <c r="IH11" s="95"/>
      <c r="II11" s="95"/>
      <c r="IJ11" s="95"/>
      <c r="IK11" s="95"/>
      <c r="IL11" s="95"/>
      <c r="IM11" s="95"/>
      <c r="IN11" s="95"/>
      <c r="IO11" s="95"/>
      <c r="IP11" s="95"/>
      <c r="IQ11" s="95"/>
      <c r="IR11" s="95"/>
      <c r="IS11" s="95"/>
      <c r="IT11" s="95"/>
      <c r="IU11" s="95"/>
      <c r="IV11" s="95"/>
      <c r="IW11" s="95"/>
    </row>
    <row r="12" s="96" customFormat="true" ht="23.1" hidden="false" customHeight="false" outlineLevel="0" collapsed="false">
      <c r="A12" s="97" t="s">
        <v>282</v>
      </c>
      <c r="B12" s="97" t="s">
        <v>283</v>
      </c>
      <c r="C12" s="97" t="n">
        <v>50</v>
      </c>
      <c r="D12" s="97" t="n">
        <v>5.5</v>
      </c>
      <c r="E12" s="97" t="s">
        <v>18</v>
      </c>
      <c r="F12" s="97" t="n">
        <v>80</v>
      </c>
      <c r="G12" s="97" t="n">
        <v>15</v>
      </c>
      <c r="H12" s="97" t="n">
        <v>25</v>
      </c>
      <c r="I12" s="97" t="n">
        <v>520</v>
      </c>
      <c r="J12" s="97" t="s">
        <v>284</v>
      </c>
      <c r="K12" s="97" t="s">
        <v>285</v>
      </c>
      <c r="L12" s="98" t="s">
        <v>286</v>
      </c>
      <c r="M12" s="97" t="n">
        <v>200</v>
      </c>
      <c r="N12" s="99" t="s">
        <v>287</v>
      </c>
      <c r="O12" s="99" t="n">
        <v>0.85</v>
      </c>
      <c r="P12" s="100" t="s">
        <v>288</v>
      </c>
      <c r="Q12" s="100" t="n">
        <v>2.3</v>
      </c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95"/>
      <c r="AS12" s="95"/>
      <c r="AT12" s="95"/>
      <c r="AU12" s="95"/>
      <c r="AV12" s="95"/>
      <c r="AW12" s="95"/>
      <c r="AX12" s="95"/>
      <c r="AY12" s="95"/>
      <c r="AZ12" s="95"/>
      <c r="BA12" s="95"/>
      <c r="BB12" s="95"/>
      <c r="BC12" s="95"/>
      <c r="BD12" s="95"/>
      <c r="BE12" s="95"/>
      <c r="BF12" s="95"/>
      <c r="BG12" s="95"/>
      <c r="BH12" s="95"/>
      <c r="BI12" s="95"/>
      <c r="BJ12" s="95"/>
      <c r="BK12" s="95"/>
      <c r="BL12" s="95"/>
      <c r="BM12" s="95"/>
      <c r="BN12" s="95"/>
      <c r="BO12" s="95"/>
      <c r="BP12" s="95"/>
      <c r="BQ12" s="95"/>
      <c r="BR12" s="95"/>
      <c r="BS12" s="95"/>
      <c r="BT12" s="95"/>
      <c r="BU12" s="95"/>
      <c r="BV12" s="95"/>
      <c r="BW12" s="95"/>
      <c r="BX12" s="95"/>
      <c r="BY12" s="95"/>
      <c r="BZ12" s="95"/>
      <c r="CA12" s="95"/>
      <c r="CB12" s="95"/>
      <c r="CC12" s="95"/>
      <c r="CD12" s="95"/>
      <c r="CE12" s="95"/>
      <c r="CF12" s="95"/>
      <c r="CG12" s="95"/>
      <c r="CH12" s="95"/>
      <c r="CI12" s="95"/>
      <c r="CJ12" s="95"/>
      <c r="CK12" s="95"/>
      <c r="CL12" s="95"/>
      <c r="CM12" s="95"/>
      <c r="CN12" s="95"/>
      <c r="CO12" s="95"/>
      <c r="CP12" s="95"/>
      <c r="CQ12" s="95"/>
      <c r="CR12" s="95"/>
      <c r="CS12" s="95"/>
      <c r="CT12" s="95"/>
      <c r="CU12" s="95"/>
      <c r="CV12" s="95"/>
      <c r="CW12" s="95"/>
      <c r="CX12" s="95"/>
      <c r="CY12" s="95"/>
      <c r="CZ12" s="95"/>
      <c r="DA12" s="95"/>
      <c r="DB12" s="95"/>
      <c r="DC12" s="95"/>
      <c r="DD12" s="95"/>
      <c r="DE12" s="95"/>
      <c r="DF12" s="95"/>
      <c r="DG12" s="95"/>
      <c r="DH12" s="95"/>
      <c r="DI12" s="95"/>
      <c r="DJ12" s="95"/>
      <c r="DK12" s="95"/>
      <c r="DL12" s="95"/>
      <c r="DM12" s="95"/>
      <c r="DN12" s="95"/>
      <c r="DO12" s="95"/>
      <c r="DP12" s="95"/>
      <c r="DQ12" s="95"/>
      <c r="DR12" s="95"/>
      <c r="DS12" s="95"/>
      <c r="DT12" s="95"/>
      <c r="DU12" s="95"/>
      <c r="DV12" s="95"/>
      <c r="DW12" s="95"/>
      <c r="DX12" s="95"/>
      <c r="DY12" s="95"/>
      <c r="DZ12" s="95"/>
      <c r="EA12" s="95"/>
      <c r="EB12" s="95"/>
      <c r="EC12" s="95"/>
      <c r="ED12" s="95"/>
      <c r="EE12" s="95"/>
      <c r="EF12" s="95"/>
      <c r="EG12" s="95"/>
      <c r="EH12" s="95"/>
      <c r="EI12" s="95"/>
      <c r="EJ12" s="95"/>
      <c r="EK12" s="95"/>
      <c r="EL12" s="95"/>
      <c r="EM12" s="95"/>
      <c r="EN12" s="95"/>
      <c r="EO12" s="95"/>
      <c r="EP12" s="95"/>
      <c r="EQ12" s="95"/>
      <c r="ER12" s="95"/>
      <c r="ES12" s="95"/>
      <c r="ET12" s="95"/>
      <c r="EU12" s="95"/>
      <c r="EV12" s="95"/>
      <c r="EW12" s="95"/>
      <c r="EX12" s="95"/>
      <c r="EY12" s="95"/>
      <c r="EZ12" s="95"/>
      <c r="FA12" s="95"/>
      <c r="FB12" s="95"/>
      <c r="FC12" s="95"/>
      <c r="FD12" s="95"/>
      <c r="FE12" s="95"/>
      <c r="FF12" s="95"/>
      <c r="FG12" s="95"/>
      <c r="FH12" s="95"/>
      <c r="FI12" s="95"/>
      <c r="FJ12" s="95"/>
      <c r="FK12" s="95"/>
      <c r="FL12" s="95"/>
      <c r="FM12" s="95"/>
      <c r="FN12" s="95"/>
      <c r="FO12" s="95"/>
      <c r="FP12" s="95"/>
      <c r="FQ12" s="95"/>
      <c r="FR12" s="95"/>
      <c r="FS12" s="95"/>
      <c r="FT12" s="95"/>
      <c r="FU12" s="95"/>
      <c r="FV12" s="95"/>
      <c r="FW12" s="95"/>
      <c r="FX12" s="95"/>
      <c r="FY12" s="95"/>
      <c r="FZ12" s="95"/>
      <c r="GA12" s="95"/>
      <c r="GB12" s="95"/>
      <c r="GC12" s="95"/>
      <c r="GD12" s="95"/>
      <c r="GE12" s="95"/>
      <c r="GF12" s="95"/>
      <c r="GG12" s="95"/>
      <c r="GH12" s="95"/>
      <c r="GI12" s="95"/>
      <c r="GJ12" s="95"/>
      <c r="GK12" s="95"/>
      <c r="GL12" s="95"/>
      <c r="GM12" s="95"/>
      <c r="GN12" s="95"/>
      <c r="GO12" s="95"/>
      <c r="GP12" s="95"/>
      <c r="GQ12" s="95"/>
      <c r="GR12" s="95"/>
      <c r="GS12" s="95"/>
      <c r="GT12" s="95"/>
      <c r="GU12" s="95"/>
      <c r="GV12" s="95"/>
      <c r="GW12" s="95"/>
      <c r="GX12" s="95"/>
      <c r="GY12" s="95"/>
      <c r="GZ12" s="95"/>
      <c r="HA12" s="95"/>
      <c r="HB12" s="95"/>
      <c r="HC12" s="95"/>
      <c r="HD12" s="95"/>
      <c r="HE12" s="95"/>
      <c r="HF12" s="95"/>
      <c r="HG12" s="95"/>
      <c r="HH12" s="95"/>
      <c r="HI12" s="95"/>
      <c r="HJ12" s="95"/>
      <c r="HK12" s="95"/>
      <c r="HL12" s="95"/>
      <c r="HM12" s="95"/>
      <c r="HN12" s="95"/>
      <c r="HO12" s="95"/>
      <c r="HP12" s="95"/>
      <c r="HQ12" s="95"/>
      <c r="HR12" s="95"/>
      <c r="HS12" s="95"/>
      <c r="HT12" s="95"/>
      <c r="HU12" s="95"/>
      <c r="HV12" s="95"/>
      <c r="HW12" s="95"/>
      <c r="HX12" s="95"/>
      <c r="HY12" s="95"/>
      <c r="HZ12" s="95"/>
      <c r="IA12" s="95"/>
      <c r="IB12" s="95"/>
      <c r="IC12" s="95"/>
      <c r="ID12" s="95"/>
      <c r="IE12" s="95"/>
      <c r="IF12" s="95"/>
      <c r="IG12" s="95"/>
      <c r="IH12" s="95"/>
      <c r="II12" s="95"/>
      <c r="IJ12" s="95"/>
      <c r="IK12" s="95"/>
      <c r="IL12" s="95"/>
      <c r="IM12" s="95"/>
      <c r="IN12" s="95"/>
      <c r="IO12" s="95"/>
      <c r="IP12" s="95"/>
      <c r="IQ12" s="95"/>
      <c r="IR12" s="95"/>
      <c r="IS12" s="95"/>
      <c r="IT12" s="95"/>
      <c r="IU12" s="95"/>
      <c r="IV12" s="95"/>
      <c r="IW12" s="95"/>
    </row>
    <row r="13" s="96" customFormat="true" ht="23.1" hidden="false" customHeight="false" outlineLevel="0" collapsed="false">
      <c r="A13" s="97" t="s">
        <v>289</v>
      </c>
      <c r="B13" s="97" t="s">
        <v>283</v>
      </c>
      <c r="C13" s="97" t="n">
        <v>50</v>
      </c>
      <c r="D13" s="97" t="n">
        <v>2</v>
      </c>
      <c r="E13" s="97" t="s">
        <v>18</v>
      </c>
      <c r="F13" s="97" t="n">
        <v>44</v>
      </c>
      <c r="G13" s="97" t="n">
        <v>9</v>
      </c>
      <c r="H13" s="97" t="n">
        <v>12.5</v>
      </c>
      <c r="I13" s="97" t="n">
        <v>520</v>
      </c>
      <c r="J13" s="97" t="s">
        <v>290</v>
      </c>
      <c r="K13" s="97" t="s">
        <v>285</v>
      </c>
      <c r="L13" s="98" t="s">
        <v>291</v>
      </c>
      <c r="M13" s="97" t="n">
        <v>200</v>
      </c>
      <c r="N13" s="99" t="s">
        <v>287</v>
      </c>
      <c r="O13" s="99" t="n">
        <v>0.85</v>
      </c>
      <c r="P13" s="100" t="s">
        <v>288</v>
      </c>
      <c r="Q13" s="100" t="n">
        <v>2.3</v>
      </c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  <c r="AG13" s="95"/>
      <c r="AH13" s="95"/>
      <c r="AI13" s="95"/>
      <c r="AJ13" s="95"/>
      <c r="AK13" s="95"/>
      <c r="AL13" s="95"/>
      <c r="AM13" s="95"/>
      <c r="AN13" s="95"/>
      <c r="AO13" s="95"/>
      <c r="AP13" s="95"/>
      <c r="AQ13" s="95"/>
      <c r="AR13" s="95"/>
      <c r="AS13" s="95"/>
      <c r="AT13" s="95"/>
      <c r="AU13" s="95"/>
      <c r="AV13" s="95"/>
      <c r="AW13" s="95"/>
      <c r="AX13" s="95"/>
      <c r="AY13" s="95"/>
      <c r="AZ13" s="95"/>
      <c r="BA13" s="95"/>
      <c r="BB13" s="95"/>
      <c r="BC13" s="95"/>
      <c r="BD13" s="95"/>
      <c r="BE13" s="95"/>
      <c r="BF13" s="95"/>
      <c r="BG13" s="95"/>
      <c r="BH13" s="95"/>
      <c r="BI13" s="95"/>
      <c r="BJ13" s="95"/>
      <c r="BK13" s="95"/>
      <c r="BL13" s="95"/>
      <c r="BM13" s="95"/>
      <c r="BN13" s="95"/>
      <c r="BO13" s="95"/>
      <c r="BP13" s="95"/>
      <c r="BQ13" s="95"/>
      <c r="BR13" s="95"/>
      <c r="BS13" s="95"/>
      <c r="BT13" s="95"/>
      <c r="BU13" s="95"/>
      <c r="BV13" s="95"/>
      <c r="BW13" s="95"/>
      <c r="BX13" s="95"/>
      <c r="BY13" s="95"/>
      <c r="BZ13" s="95"/>
      <c r="CA13" s="95"/>
      <c r="CB13" s="95"/>
      <c r="CC13" s="95"/>
      <c r="CD13" s="95"/>
      <c r="CE13" s="95"/>
      <c r="CF13" s="95"/>
      <c r="CG13" s="95"/>
      <c r="CH13" s="95"/>
      <c r="CI13" s="95"/>
      <c r="CJ13" s="95"/>
      <c r="CK13" s="95"/>
      <c r="CL13" s="95"/>
      <c r="CM13" s="95"/>
      <c r="CN13" s="95"/>
      <c r="CO13" s="95"/>
      <c r="CP13" s="95"/>
      <c r="CQ13" s="95"/>
      <c r="CR13" s="95"/>
      <c r="CS13" s="95"/>
      <c r="CT13" s="95"/>
      <c r="CU13" s="95"/>
      <c r="CV13" s="95"/>
      <c r="CW13" s="95"/>
      <c r="CX13" s="95"/>
      <c r="CY13" s="95"/>
      <c r="CZ13" s="95"/>
      <c r="DA13" s="95"/>
      <c r="DB13" s="95"/>
      <c r="DC13" s="95"/>
      <c r="DD13" s="95"/>
      <c r="DE13" s="95"/>
      <c r="DF13" s="95"/>
      <c r="DG13" s="95"/>
      <c r="DH13" s="95"/>
      <c r="DI13" s="95"/>
      <c r="DJ13" s="95"/>
      <c r="DK13" s="95"/>
      <c r="DL13" s="95"/>
      <c r="DM13" s="95"/>
      <c r="DN13" s="95"/>
      <c r="DO13" s="95"/>
      <c r="DP13" s="95"/>
      <c r="DQ13" s="95"/>
      <c r="DR13" s="95"/>
      <c r="DS13" s="95"/>
      <c r="DT13" s="95"/>
      <c r="DU13" s="95"/>
      <c r="DV13" s="95"/>
      <c r="DW13" s="95"/>
      <c r="DX13" s="95"/>
      <c r="DY13" s="95"/>
      <c r="DZ13" s="95"/>
      <c r="EA13" s="95"/>
      <c r="EB13" s="95"/>
      <c r="EC13" s="95"/>
      <c r="ED13" s="95"/>
      <c r="EE13" s="95"/>
      <c r="EF13" s="95"/>
      <c r="EG13" s="95"/>
      <c r="EH13" s="95"/>
      <c r="EI13" s="95"/>
      <c r="EJ13" s="95"/>
      <c r="EK13" s="95"/>
      <c r="EL13" s="95"/>
      <c r="EM13" s="95"/>
      <c r="EN13" s="95"/>
      <c r="EO13" s="95"/>
      <c r="EP13" s="95"/>
      <c r="EQ13" s="95"/>
      <c r="ER13" s="95"/>
      <c r="ES13" s="95"/>
      <c r="ET13" s="95"/>
      <c r="EU13" s="95"/>
      <c r="EV13" s="95"/>
      <c r="EW13" s="95"/>
      <c r="EX13" s="95"/>
      <c r="EY13" s="95"/>
      <c r="EZ13" s="95"/>
      <c r="FA13" s="95"/>
      <c r="FB13" s="95"/>
      <c r="FC13" s="95"/>
      <c r="FD13" s="95"/>
      <c r="FE13" s="95"/>
      <c r="FF13" s="95"/>
      <c r="FG13" s="95"/>
      <c r="FH13" s="95"/>
      <c r="FI13" s="95"/>
      <c r="FJ13" s="95"/>
      <c r="FK13" s="95"/>
      <c r="FL13" s="95"/>
      <c r="FM13" s="95"/>
      <c r="FN13" s="95"/>
      <c r="FO13" s="95"/>
      <c r="FP13" s="95"/>
      <c r="FQ13" s="95"/>
      <c r="FR13" s="95"/>
      <c r="FS13" s="95"/>
      <c r="FT13" s="95"/>
      <c r="FU13" s="95"/>
      <c r="FV13" s="95"/>
      <c r="FW13" s="95"/>
      <c r="FX13" s="95"/>
      <c r="FY13" s="95"/>
      <c r="FZ13" s="95"/>
      <c r="GA13" s="95"/>
      <c r="GB13" s="95"/>
      <c r="GC13" s="95"/>
      <c r="GD13" s="95"/>
      <c r="GE13" s="95"/>
      <c r="GF13" s="95"/>
      <c r="GG13" s="95"/>
      <c r="GH13" s="95"/>
      <c r="GI13" s="95"/>
      <c r="GJ13" s="95"/>
      <c r="GK13" s="95"/>
      <c r="GL13" s="95"/>
      <c r="GM13" s="95"/>
      <c r="GN13" s="95"/>
      <c r="GO13" s="95"/>
      <c r="GP13" s="95"/>
      <c r="GQ13" s="95"/>
      <c r="GR13" s="95"/>
      <c r="GS13" s="95"/>
      <c r="GT13" s="95"/>
      <c r="GU13" s="95"/>
      <c r="GV13" s="95"/>
      <c r="GW13" s="95"/>
      <c r="GX13" s="95"/>
      <c r="GY13" s="95"/>
      <c r="GZ13" s="95"/>
      <c r="HA13" s="95"/>
      <c r="HB13" s="95"/>
      <c r="HC13" s="95"/>
      <c r="HD13" s="95"/>
      <c r="HE13" s="95"/>
      <c r="HF13" s="95"/>
      <c r="HG13" s="95"/>
      <c r="HH13" s="95"/>
      <c r="HI13" s="95"/>
      <c r="HJ13" s="95"/>
      <c r="HK13" s="95"/>
      <c r="HL13" s="95"/>
      <c r="HM13" s="95"/>
      <c r="HN13" s="95"/>
      <c r="HO13" s="95"/>
      <c r="HP13" s="95"/>
      <c r="HQ13" s="95"/>
      <c r="HR13" s="95"/>
      <c r="HS13" s="95"/>
      <c r="HT13" s="95"/>
      <c r="HU13" s="95"/>
      <c r="HV13" s="95"/>
      <c r="HW13" s="95"/>
      <c r="HX13" s="95"/>
      <c r="HY13" s="95"/>
      <c r="HZ13" s="95"/>
      <c r="IA13" s="95"/>
      <c r="IB13" s="95"/>
      <c r="IC13" s="95"/>
      <c r="ID13" s="95"/>
      <c r="IE13" s="95"/>
      <c r="IF13" s="95"/>
      <c r="IG13" s="95"/>
      <c r="IH13" s="95"/>
      <c r="II13" s="95"/>
      <c r="IJ13" s="95"/>
      <c r="IK13" s="95"/>
      <c r="IL13" s="95"/>
      <c r="IM13" s="95"/>
      <c r="IN13" s="95"/>
      <c r="IO13" s="95"/>
      <c r="IP13" s="95"/>
      <c r="IQ13" s="95"/>
      <c r="IR13" s="95"/>
      <c r="IS13" s="95"/>
      <c r="IT13" s="95"/>
      <c r="IU13" s="95"/>
      <c r="IV13" s="95"/>
      <c r="IW13" s="95"/>
    </row>
    <row r="14" s="96" customFormat="true" ht="23.1" hidden="false" customHeight="false" outlineLevel="0" collapsed="false">
      <c r="A14" s="97" t="s">
        <v>292</v>
      </c>
      <c r="B14" s="97" t="s">
        <v>293</v>
      </c>
      <c r="C14" s="97" t="n">
        <v>65</v>
      </c>
      <c r="D14" s="97" t="n">
        <v>40</v>
      </c>
      <c r="E14" s="97" t="s">
        <v>18</v>
      </c>
      <c r="F14" s="97" t="n">
        <v>120</v>
      </c>
      <c r="G14" s="97" t="n">
        <v>25</v>
      </c>
      <c r="H14" s="97" t="n">
        <v>250</v>
      </c>
      <c r="I14" s="97" t="n">
        <v>600</v>
      </c>
      <c r="J14" s="97" t="s">
        <v>294</v>
      </c>
      <c r="K14" s="97" t="s">
        <v>269</v>
      </c>
      <c r="L14" s="98" t="s">
        <v>295</v>
      </c>
      <c r="M14" s="97" t="n">
        <v>200</v>
      </c>
      <c r="N14" s="99" t="s">
        <v>296</v>
      </c>
      <c r="O14" s="99" t="n">
        <v>0.85</v>
      </c>
      <c r="P14" s="100" t="s">
        <v>288</v>
      </c>
      <c r="Q14" s="100" t="n">
        <v>2.3</v>
      </c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95"/>
      <c r="AJ14" s="95"/>
      <c r="AK14" s="95"/>
      <c r="AL14" s="95"/>
      <c r="AM14" s="95"/>
      <c r="AN14" s="95"/>
      <c r="AO14" s="95"/>
      <c r="AP14" s="95"/>
      <c r="AQ14" s="95"/>
      <c r="AR14" s="95"/>
      <c r="AS14" s="95"/>
      <c r="AT14" s="95"/>
      <c r="AU14" s="95"/>
      <c r="AV14" s="95"/>
      <c r="AW14" s="95"/>
      <c r="AX14" s="95"/>
      <c r="AY14" s="95"/>
      <c r="AZ14" s="95"/>
      <c r="BA14" s="95"/>
      <c r="BB14" s="95"/>
      <c r="BC14" s="95"/>
      <c r="BD14" s="95"/>
      <c r="BE14" s="95"/>
      <c r="BF14" s="95"/>
      <c r="BG14" s="95"/>
      <c r="BH14" s="95"/>
      <c r="BI14" s="95"/>
      <c r="BJ14" s="95"/>
      <c r="BK14" s="95"/>
      <c r="BL14" s="95"/>
      <c r="BM14" s="95"/>
      <c r="BN14" s="95"/>
      <c r="BO14" s="95"/>
      <c r="BP14" s="95"/>
      <c r="BQ14" s="95"/>
      <c r="BR14" s="95"/>
      <c r="BS14" s="95"/>
      <c r="BT14" s="95"/>
      <c r="BU14" s="95"/>
      <c r="BV14" s="95"/>
      <c r="BW14" s="95"/>
      <c r="BX14" s="95"/>
      <c r="BY14" s="95"/>
      <c r="BZ14" s="95"/>
      <c r="CA14" s="95"/>
      <c r="CB14" s="95"/>
      <c r="CC14" s="95"/>
      <c r="CD14" s="95"/>
      <c r="CE14" s="95"/>
      <c r="CF14" s="95"/>
      <c r="CG14" s="95"/>
      <c r="CH14" s="95"/>
      <c r="CI14" s="95"/>
      <c r="CJ14" s="95"/>
      <c r="CK14" s="95"/>
      <c r="CL14" s="95"/>
      <c r="CM14" s="95"/>
      <c r="CN14" s="95"/>
      <c r="CO14" s="95"/>
      <c r="CP14" s="95"/>
      <c r="CQ14" s="95"/>
      <c r="CR14" s="95"/>
      <c r="CS14" s="95"/>
      <c r="CT14" s="95"/>
      <c r="CU14" s="95"/>
      <c r="CV14" s="95"/>
      <c r="CW14" s="95"/>
      <c r="CX14" s="95"/>
      <c r="CY14" s="95"/>
      <c r="CZ14" s="95"/>
      <c r="DA14" s="95"/>
      <c r="DB14" s="95"/>
      <c r="DC14" s="95"/>
      <c r="DD14" s="95"/>
      <c r="DE14" s="95"/>
      <c r="DF14" s="95"/>
      <c r="DG14" s="95"/>
      <c r="DH14" s="95"/>
      <c r="DI14" s="95"/>
      <c r="DJ14" s="95"/>
      <c r="DK14" s="95"/>
      <c r="DL14" s="95"/>
      <c r="DM14" s="95"/>
      <c r="DN14" s="95"/>
      <c r="DO14" s="95"/>
      <c r="DP14" s="95"/>
      <c r="DQ14" s="95"/>
      <c r="DR14" s="95"/>
      <c r="DS14" s="95"/>
      <c r="DT14" s="95"/>
      <c r="DU14" s="95"/>
      <c r="DV14" s="95"/>
      <c r="DW14" s="95"/>
      <c r="DX14" s="95"/>
      <c r="DY14" s="95"/>
      <c r="DZ14" s="95"/>
      <c r="EA14" s="95"/>
      <c r="EB14" s="95"/>
      <c r="EC14" s="95"/>
      <c r="ED14" s="95"/>
      <c r="EE14" s="95"/>
      <c r="EF14" s="95"/>
      <c r="EG14" s="95"/>
      <c r="EH14" s="95"/>
      <c r="EI14" s="95"/>
      <c r="EJ14" s="95"/>
      <c r="EK14" s="95"/>
      <c r="EL14" s="95"/>
      <c r="EM14" s="95"/>
      <c r="EN14" s="95"/>
      <c r="EO14" s="95"/>
      <c r="EP14" s="95"/>
      <c r="EQ14" s="95"/>
      <c r="ER14" s="95"/>
      <c r="ES14" s="95"/>
      <c r="ET14" s="95"/>
      <c r="EU14" s="95"/>
      <c r="EV14" s="95"/>
      <c r="EW14" s="95"/>
      <c r="EX14" s="95"/>
      <c r="EY14" s="95"/>
      <c r="EZ14" s="95"/>
      <c r="FA14" s="95"/>
      <c r="FB14" s="95"/>
      <c r="FC14" s="95"/>
      <c r="FD14" s="95"/>
      <c r="FE14" s="95"/>
      <c r="FF14" s="95"/>
      <c r="FG14" s="95"/>
      <c r="FH14" s="95"/>
      <c r="FI14" s="95"/>
      <c r="FJ14" s="95"/>
      <c r="FK14" s="95"/>
      <c r="FL14" s="95"/>
      <c r="FM14" s="95"/>
      <c r="FN14" s="95"/>
      <c r="FO14" s="95"/>
      <c r="FP14" s="95"/>
      <c r="FQ14" s="95"/>
      <c r="FR14" s="95"/>
      <c r="FS14" s="95"/>
      <c r="FT14" s="95"/>
      <c r="FU14" s="95"/>
      <c r="FV14" s="95"/>
      <c r="FW14" s="95"/>
      <c r="FX14" s="95"/>
      <c r="FY14" s="95"/>
      <c r="FZ14" s="95"/>
      <c r="GA14" s="95"/>
      <c r="GB14" s="95"/>
      <c r="GC14" s="95"/>
      <c r="GD14" s="95"/>
      <c r="GE14" s="95"/>
      <c r="GF14" s="95"/>
      <c r="GG14" s="95"/>
      <c r="GH14" s="95"/>
      <c r="GI14" s="95"/>
      <c r="GJ14" s="95"/>
      <c r="GK14" s="95"/>
      <c r="GL14" s="95"/>
      <c r="GM14" s="95"/>
      <c r="GN14" s="95"/>
      <c r="GO14" s="95"/>
      <c r="GP14" s="95"/>
      <c r="GQ14" s="95"/>
      <c r="GR14" s="95"/>
      <c r="GS14" s="95"/>
      <c r="GT14" s="95"/>
      <c r="GU14" s="95"/>
      <c r="GV14" s="95"/>
      <c r="GW14" s="95"/>
      <c r="GX14" s="95"/>
      <c r="GY14" s="95"/>
      <c r="GZ14" s="95"/>
      <c r="HA14" s="95"/>
      <c r="HB14" s="95"/>
      <c r="HC14" s="95"/>
      <c r="HD14" s="95"/>
      <c r="HE14" s="95"/>
      <c r="HF14" s="95"/>
      <c r="HG14" s="95"/>
      <c r="HH14" s="95"/>
      <c r="HI14" s="95"/>
      <c r="HJ14" s="95"/>
      <c r="HK14" s="95"/>
      <c r="HL14" s="95"/>
      <c r="HM14" s="95"/>
      <c r="HN14" s="95"/>
      <c r="HO14" s="95"/>
      <c r="HP14" s="95"/>
      <c r="HQ14" s="95"/>
      <c r="HR14" s="95"/>
      <c r="HS14" s="95"/>
      <c r="HT14" s="95"/>
      <c r="HU14" s="95"/>
      <c r="HV14" s="95"/>
      <c r="HW14" s="95"/>
      <c r="HX14" s="95"/>
      <c r="HY14" s="95"/>
      <c r="HZ14" s="95"/>
      <c r="IA14" s="95"/>
      <c r="IB14" s="95"/>
      <c r="IC14" s="95"/>
      <c r="ID14" s="95"/>
      <c r="IE14" s="95"/>
      <c r="IF14" s="95"/>
      <c r="IG14" s="95"/>
      <c r="IH14" s="95"/>
      <c r="II14" s="95"/>
      <c r="IJ14" s="95"/>
      <c r="IK14" s="95"/>
      <c r="IL14" s="95"/>
      <c r="IM14" s="95"/>
      <c r="IN14" s="95"/>
      <c r="IO14" s="95"/>
      <c r="IP14" s="95"/>
      <c r="IQ14" s="95"/>
      <c r="IR14" s="95"/>
      <c r="IS14" s="95"/>
      <c r="IT14" s="95"/>
      <c r="IU14" s="95"/>
      <c r="IV14" s="95"/>
      <c r="IW14" s="95"/>
    </row>
    <row r="15" s="96" customFormat="true" ht="44.75" hidden="false" customHeight="false" outlineLevel="0" collapsed="false">
      <c r="A15" s="97" t="s">
        <v>297</v>
      </c>
      <c r="B15" s="97" t="s">
        <v>298</v>
      </c>
      <c r="C15" s="97" t="n">
        <v>500</v>
      </c>
      <c r="D15" s="97" t="n">
        <v>55</v>
      </c>
      <c r="E15" s="97" t="n">
        <v>0.065</v>
      </c>
      <c r="F15" s="97" t="n">
        <v>4900</v>
      </c>
      <c r="G15" s="97" t="n">
        <v>1200</v>
      </c>
      <c r="H15" s="97" t="n">
        <v>500</v>
      </c>
      <c r="I15" s="97" t="n">
        <v>0</v>
      </c>
      <c r="J15" s="97" t="s">
        <v>299</v>
      </c>
      <c r="K15" s="97" t="s">
        <v>300</v>
      </c>
      <c r="L15" s="98" t="s">
        <v>301</v>
      </c>
      <c r="M15" s="97" t="n">
        <v>150</v>
      </c>
      <c r="N15" s="99" t="s">
        <v>262</v>
      </c>
      <c r="O15" s="99" t="n">
        <v>0.35</v>
      </c>
      <c r="P15" s="100" t="s">
        <v>263</v>
      </c>
      <c r="Q15" s="100" t="n">
        <v>2.3</v>
      </c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X15" s="95"/>
      <c r="AY15" s="95"/>
      <c r="AZ15" s="95"/>
      <c r="BA15" s="95"/>
      <c r="BB15" s="95"/>
      <c r="BC15" s="95"/>
      <c r="BD15" s="95"/>
      <c r="BE15" s="95"/>
      <c r="BF15" s="95"/>
      <c r="BG15" s="95"/>
      <c r="BH15" s="95"/>
      <c r="BI15" s="95"/>
      <c r="BJ15" s="95"/>
      <c r="BK15" s="95"/>
      <c r="BL15" s="95"/>
      <c r="BM15" s="95"/>
      <c r="BN15" s="95"/>
      <c r="BO15" s="95"/>
      <c r="BP15" s="95"/>
      <c r="BQ15" s="95"/>
      <c r="BR15" s="95"/>
      <c r="BS15" s="95"/>
      <c r="BT15" s="95"/>
      <c r="BU15" s="95"/>
      <c r="BV15" s="95"/>
      <c r="BW15" s="95"/>
      <c r="BX15" s="95"/>
      <c r="BY15" s="95"/>
      <c r="BZ15" s="95"/>
      <c r="CA15" s="95"/>
      <c r="CB15" s="95"/>
      <c r="CC15" s="95"/>
      <c r="CD15" s="95"/>
      <c r="CE15" s="95"/>
      <c r="CF15" s="95"/>
      <c r="CG15" s="95"/>
      <c r="CH15" s="95"/>
      <c r="CI15" s="95"/>
      <c r="CJ15" s="95"/>
      <c r="CK15" s="95"/>
      <c r="CL15" s="95"/>
      <c r="CM15" s="95"/>
      <c r="CN15" s="95"/>
      <c r="CO15" s="95"/>
      <c r="CP15" s="95"/>
      <c r="CQ15" s="95"/>
      <c r="CR15" s="95"/>
      <c r="CS15" s="95"/>
      <c r="CT15" s="95"/>
      <c r="CU15" s="95"/>
      <c r="CV15" s="95"/>
      <c r="CW15" s="95"/>
      <c r="CX15" s="95"/>
      <c r="CY15" s="95"/>
      <c r="CZ15" s="95"/>
      <c r="DA15" s="95"/>
      <c r="DB15" s="95"/>
      <c r="DC15" s="95"/>
      <c r="DD15" s="95"/>
      <c r="DE15" s="95"/>
      <c r="DF15" s="95"/>
      <c r="DG15" s="95"/>
      <c r="DH15" s="95"/>
      <c r="DI15" s="95"/>
      <c r="DJ15" s="95"/>
      <c r="DK15" s="95"/>
      <c r="DL15" s="95"/>
      <c r="DM15" s="95"/>
      <c r="DN15" s="95"/>
      <c r="DO15" s="95"/>
      <c r="DP15" s="95"/>
      <c r="DQ15" s="95"/>
      <c r="DR15" s="95"/>
      <c r="DS15" s="95"/>
      <c r="DT15" s="95"/>
      <c r="DU15" s="95"/>
      <c r="DV15" s="95"/>
      <c r="DW15" s="95"/>
      <c r="DX15" s="95"/>
      <c r="DY15" s="95"/>
      <c r="DZ15" s="95"/>
      <c r="EA15" s="95"/>
      <c r="EB15" s="95"/>
      <c r="EC15" s="95"/>
      <c r="ED15" s="95"/>
      <c r="EE15" s="95"/>
      <c r="EF15" s="95"/>
      <c r="EG15" s="95"/>
      <c r="EH15" s="95"/>
      <c r="EI15" s="95"/>
      <c r="EJ15" s="95"/>
      <c r="EK15" s="95"/>
      <c r="EL15" s="95"/>
      <c r="EM15" s="95"/>
      <c r="EN15" s="95"/>
      <c r="EO15" s="95"/>
      <c r="EP15" s="95"/>
      <c r="EQ15" s="95"/>
      <c r="ER15" s="95"/>
      <c r="ES15" s="95"/>
      <c r="ET15" s="95"/>
      <c r="EU15" s="95"/>
      <c r="EV15" s="95"/>
      <c r="EW15" s="95"/>
      <c r="EX15" s="95"/>
      <c r="EY15" s="95"/>
      <c r="EZ15" s="95"/>
      <c r="FA15" s="95"/>
      <c r="FB15" s="95"/>
      <c r="FC15" s="95"/>
      <c r="FD15" s="95"/>
      <c r="FE15" s="95"/>
      <c r="FF15" s="95"/>
      <c r="FG15" s="95"/>
      <c r="FH15" s="95"/>
      <c r="FI15" s="95"/>
      <c r="FJ15" s="95"/>
      <c r="FK15" s="95"/>
      <c r="FL15" s="95"/>
      <c r="FM15" s="95"/>
      <c r="FN15" s="95"/>
      <c r="FO15" s="95"/>
      <c r="FP15" s="95"/>
      <c r="FQ15" s="95"/>
      <c r="FR15" s="95"/>
      <c r="FS15" s="95"/>
      <c r="FT15" s="95"/>
      <c r="FU15" s="95"/>
      <c r="FV15" s="95"/>
      <c r="FW15" s="95"/>
      <c r="FX15" s="95"/>
      <c r="FY15" s="95"/>
      <c r="FZ15" s="95"/>
      <c r="GA15" s="95"/>
      <c r="GB15" s="95"/>
      <c r="GC15" s="95"/>
      <c r="GD15" s="95"/>
      <c r="GE15" s="95"/>
      <c r="GF15" s="95"/>
      <c r="GG15" s="95"/>
      <c r="GH15" s="95"/>
      <c r="GI15" s="95"/>
      <c r="GJ15" s="95"/>
      <c r="GK15" s="95"/>
      <c r="GL15" s="95"/>
      <c r="GM15" s="95"/>
      <c r="GN15" s="95"/>
      <c r="GO15" s="95"/>
      <c r="GP15" s="95"/>
      <c r="GQ15" s="95"/>
      <c r="GR15" s="95"/>
      <c r="GS15" s="95"/>
      <c r="GT15" s="95"/>
      <c r="GU15" s="95"/>
      <c r="GV15" s="95"/>
      <c r="GW15" s="95"/>
      <c r="GX15" s="95"/>
      <c r="GY15" s="95"/>
      <c r="GZ15" s="95"/>
      <c r="HA15" s="95"/>
      <c r="HB15" s="95"/>
      <c r="HC15" s="95"/>
      <c r="HD15" s="95"/>
      <c r="HE15" s="95"/>
      <c r="HF15" s="95"/>
      <c r="HG15" s="95"/>
      <c r="HH15" s="95"/>
      <c r="HI15" s="95"/>
      <c r="HJ15" s="95"/>
      <c r="HK15" s="95"/>
      <c r="HL15" s="95"/>
      <c r="HM15" s="95"/>
      <c r="HN15" s="95"/>
      <c r="HO15" s="95"/>
      <c r="HP15" s="95"/>
      <c r="HQ15" s="95"/>
      <c r="HR15" s="95"/>
      <c r="HS15" s="95"/>
      <c r="HT15" s="95"/>
      <c r="HU15" s="95"/>
      <c r="HV15" s="95"/>
      <c r="HW15" s="95"/>
      <c r="HX15" s="95"/>
      <c r="HY15" s="95"/>
      <c r="HZ15" s="95"/>
      <c r="IA15" s="95"/>
      <c r="IB15" s="95"/>
      <c r="IC15" s="95"/>
      <c r="ID15" s="95"/>
      <c r="IE15" s="95"/>
      <c r="IF15" s="95"/>
      <c r="IG15" s="95"/>
      <c r="IH15" s="95"/>
      <c r="II15" s="95"/>
      <c r="IJ15" s="95"/>
      <c r="IK15" s="95"/>
      <c r="IL15" s="95"/>
      <c r="IM15" s="95"/>
      <c r="IN15" s="95"/>
      <c r="IO15" s="95"/>
      <c r="IP15" s="95"/>
      <c r="IQ15" s="95"/>
      <c r="IR15" s="95"/>
      <c r="IS15" s="95"/>
      <c r="IT15" s="95"/>
      <c r="IU15" s="95"/>
      <c r="IV15" s="95"/>
      <c r="IW15" s="95"/>
    </row>
    <row r="16" s="96" customFormat="true" ht="23.1" hidden="false" customHeight="false" outlineLevel="0" collapsed="false">
      <c r="A16" s="97" t="s">
        <v>302</v>
      </c>
      <c r="B16" s="97" t="s">
        <v>258</v>
      </c>
      <c r="C16" s="97" t="n">
        <v>200</v>
      </c>
      <c r="D16" s="97" t="n">
        <v>7</v>
      </c>
      <c r="E16" s="97" t="n">
        <v>0.5</v>
      </c>
      <c r="F16" s="97" t="n">
        <v>450</v>
      </c>
      <c r="G16" s="97" t="n">
        <v>200</v>
      </c>
      <c r="H16" s="97" t="n">
        <v>40</v>
      </c>
      <c r="I16" s="97" t="n">
        <v>70</v>
      </c>
      <c r="J16" s="97" t="s">
        <v>303</v>
      </c>
      <c r="K16" s="97" t="s">
        <v>273</v>
      </c>
      <c r="L16" s="98" t="s">
        <v>304</v>
      </c>
      <c r="M16" s="97" t="n">
        <v>150</v>
      </c>
      <c r="N16" s="99" t="s">
        <v>305</v>
      </c>
      <c r="O16" s="99" t="n">
        <v>0.35</v>
      </c>
      <c r="P16" s="100" t="s">
        <v>263</v>
      </c>
      <c r="Q16" s="100" t="n">
        <v>2.3</v>
      </c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5"/>
      <c r="AX16" s="95"/>
      <c r="AY16" s="95"/>
      <c r="AZ16" s="95"/>
      <c r="BA16" s="95"/>
      <c r="BB16" s="95"/>
      <c r="BC16" s="95"/>
      <c r="BD16" s="95"/>
      <c r="BE16" s="95"/>
      <c r="BF16" s="95"/>
      <c r="BG16" s="95"/>
      <c r="BH16" s="95"/>
      <c r="BI16" s="95"/>
      <c r="BJ16" s="95"/>
      <c r="BK16" s="95"/>
      <c r="BL16" s="95"/>
      <c r="BM16" s="95"/>
      <c r="BN16" s="95"/>
      <c r="BO16" s="95"/>
      <c r="BP16" s="95"/>
      <c r="BQ16" s="95"/>
      <c r="BR16" s="95"/>
      <c r="BS16" s="95"/>
      <c r="BT16" s="95"/>
      <c r="BU16" s="95"/>
      <c r="BV16" s="95"/>
      <c r="BW16" s="95"/>
      <c r="BX16" s="95"/>
      <c r="BY16" s="95"/>
      <c r="BZ16" s="95"/>
      <c r="CA16" s="95"/>
      <c r="CB16" s="95"/>
      <c r="CC16" s="95"/>
      <c r="CD16" s="95"/>
      <c r="CE16" s="95"/>
      <c r="CF16" s="95"/>
      <c r="CG16" s="95"/>
      <c r="CH16" s="95"/>
      <c r="CI16" s="95"/>
      <c r="CJ16" s="95"/>
      <c r="CK16" s="95"/>
      <c r="CL16" s="95"/>
      <c r="CM16" s="95"/>
      <c r="CN16" s="95"/>
      <c r="CO16" s="95"/>
      <c r="CP16" s="95"/>
      <c r="CQ16" s="95"/>
      <c r="CR16" s="95"/>
      <c r="CS16" s="95"/>
      <c r="CT16" s="95"/>
      <c r="CU16" s="95"/>
      <c r="CV16" s="95"/>
      <c r="CW16" s="95"/>
      <c r="CX16" s="95"/>
      <c r="CY16" s="95"/>
      <c r="CZ16" s="95"/>
      <c r="DA16" s="95"/>
      <c r="DB16" s="95"/>
      <c r="DC16" s="95"/>
      <c r="DD16" s="95"/>
      <c r="DE16" s="95"/>
      <c r="DF16" s="95"/>
      <c r="DG16" s="95"/>
      <c r="DH16" s="95"/>
      <c r="DI16" s="95"/>
      <c r="DJ16" s="95"/>
      <c r="DK16" s="95"/>
      <c r="DL16" s="95"/>
      <c r="DM16" s="95"/>
      <c r="DN16" s="95"/>
      <c r="DO16" s="95"/>
      <c r="DP16" s="95"/>
      <c r="DQ16" s="95"/>
      <c r="DR16" s="95"/>
      <c r="DS16" s="95"/>
      <c r="DT16" s="95"/>
      <c r="DU16" s="95"/>
      <c r="DV16" s="95"/>
      <c r="DW16" s="95"/>
      <c r="DX16" s="95"/>
      <c r="DY16" s="95"/>
      <c r="DZ16" s="95"/>
      <c r="EA16" s="95"/>
      <c r="EB16" s="95"/>
      <c r="EC16" s="95"/>
      <c r="ED16" s="95"/>
      <c r="EE16" s="95"/>
      <c r="EF16" s="95"/>
      <c r="EG16" s="95"/>
      <c r="EH16" s="95"/>
      <c r="EI16" s="95"/>
      <c r="EJ16" s="95"/>
      <c r="EK16" s="95"/>
      <c r="EL16" s="95"/>
      <c r="EM16" s="95"/>
      <c r="EN16" s="95"/>
      <c r="EO16" s="95"/>
      <c r="EP16" s="95"/>
      <c r="EQ16" s="95"/>
      <c r="ER16" s="95"/>
      <c r="ES16" s="95"/>
      <c r="ET16" s="95"/>
      <c r="EU16" s="95"/>
      <c r="EV16" s="95"/>
      <c r="EW16" s="95"/>
      <c r="EX16" s="95"/>
      <c r="EY16" s="95"/>
      <c r="EZ16" s="95"/>
      <c r="FA16" s="95"/>
      <c r="FB16" s="95"/>
      <c r="FC16" s="95"/>
      <c r="FD16" s="95"/>
      <c r="FE16" s="95"/>
      <c r="FF16" s="95"/>
      <c r="FG16" s="95"/>
      <c r="FH16" s="95"/>
      <c r="FI16" s="95"/>
      <c r="FJ16" s="95"/>
      <c r="FK16" s="95"/>
      <c r="FL16" s="95"/>
      <c r="FM16" s="95"/>
      <c r="FN16" s="95"/>
      <c r="FO16" s="95"/>
      <c r="FP16" s="95"/>
      <c r="FQ16" s="95"/>
      <c r="FR16" s="95"/>
      <c r="FS16" s="95"/>
      <c r="FT16" s="95"/>
      <c r="FU16" s="95"/>
      <c r="FV16" s="95"/>
      <c r="FW16" s="95"/>
      <c r="FX16" s="95"/>
      <c r="FY16" s="95"/>
      <c r="FZ16" s="95"/>
      <c r="GA16" s="95"/>
      <c r="GB16" s="95"/>
      <c r="GC16" s="95"/>
      <c r="GD16" s="95"/>
      <c r="GE16" s="95"/>
      <c r="GF16" s="95"/>
      <c r="GG16" s="95"/>
      <c r="GH16" s="95"/>
      <c r="GI16" s="95"/>
      <c r="GJ16" s="95"/>
      <c r="GK16" s="95"/>
      <c r="GL16" s="95"/>
      <c r="GM16" s="95"/>
      <c r="GN16" s="95"/>
      <c r="GO16" s="95"/>
      <c r="GP16" s="95"/>
      <c r="GQ16" s="95"/>
      <c r="GR16" s="95"/>
      <c r="GS16" s="95"/>
      <c r="GT16" s="95"/>
      <c r="GU16" s="95"/>
      <c r="GV16" s="95"/>
      <c r="GW16" s="95"/>
      <c r="GX16" s="95"/>
      <c r="GY16" s="95"/>
      <c r="GZ16" s="95"/>
      <c r="HA16" s="95"/>
      <c r="HB16" s="95"/>
      <c r="HC16" s="95"/>
      <c r="HD16" s="95"/>
      <c r="HE16" s="95"/>
      <c r="HF16" s="95"/>
      <c r="HG16" s="95"/>
      <c r="HH16" s="95"/>
      <c r="HI16" s="95"/>
      <c r="HJ16" s="95"/>
      <c r="HK16" s="95"/>
      <c r="HL16" s="95"/>
      <c r="HM16" s="95"/>
      <c r="HN16" s="95"/>
      <c r="HO16" s="95"/>
      <c r="HP16" s="95"/>
      <c r="HQ16" s="95"/>
      <c r="HR16" s="95"/>
      <c r="HS16" s="95"/>
      <c r="HT16" s="95"/>
      <c r="HU16" s="95"/>
      <c r="HV16" s="95"/>
      <c r="HW16" s="95"/>
      <c r="HX16" s="95"/>
      <c r="HY16" s="95"/>
      <c r="HZ16" s="95"/>
      <c r="IA16" s="95"/>
      <c r="IB16" s="95"/>
      <c r="IC16" s="95"/>
      <c r="ID16" s="95"/>
      <c r="IE16" s="95"/>
      <c r="IF16" s="95"/>
      <c r="IG16" s="95"/>
      <c r="IH16" s="95"/>
      <c r="II16" s="95"/>
      <c r="IJ16" s="95"/>
      <c r="IK16" s="95"/>
      <c r="IL16" s="95"/>
      <c r="IM16" s="95"/>
      <c r="IN16" s="95"/>
      <c r="IO16" s="95"/>
      <c r="IP16" s="95"/>
      <c r="IQ16" s="95"/>
      <c r="IR16" s="95"/>
      <c r="IS16" s="95"/>
      <c r="IT16" s="95"/>
      <c r="IU16" s="95"/>
      <c r="IV16" s="95"/>
      <c r="IW16" s="95"/>
    </row>
    <row r="17" s="96" customFormat="true" ht="55.55" hidden="false" customHeight="false" outlineLevel="0" collapsed="false">
      <c r="A17" s="97" t="s">
        <v>306</v>
      </c>
      <c r="B17" s="97" t="s">
        <v>307</v>
      </c>
      <c r="C17" s="97" t="n">
        <v>65</v>
      </c>
      <c r="D17" s="97" t="n">
        <v>10</v>
      </c>
      <c r="E17" s="97" t="s">
        <v>18</v>
      </c>
      <c r="F17" s="97" t="n">
        <v>200</v>
      </c>
      <c r="G17" s="97" t="n">
        <v>18</v>
      </c>
      <c r="H17" s="97" t="n">
        <v>300</v>
      </c>
      <c r="I17" s="97" t="n">
        <v>1000</v>
      </c>
      <c r="J17" s="97" t="s">
        <v>308</v>
      </c>
      <c r="K17" s="97" t="s">
        <v>269</v>
      </c>
      <c r="L17" s="98" t="s">
        <v>309</v>
      </c>
      <c r="M17" s="97" t="n">
        <v>200</v>
      </c>
      <c r="N17" s="99" t="s">
        <v>296</v>
      </c>
      <c r="O17" s="99" t="n">
        <v>0.85</v>
      </c>
      <c r="P17" s="100" t="s">
        <v>288</v>
      </c>
      <c r="Q17" s="100" t="n">
        <v>2.3</v>
      </c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5"/>
      <c r="AY17" s="95"/>
      <c r="AZ17" s="95"/>
      <c r="BA17" s="95"/>
      <c r="BB17" s="95"/>
      <c r="BC17" s="95"/>
      <c r="BD17" s="95"/>
      <c r="BE17" s="95"/>
      <c r="BF17" s="95"/>
      <c r="BG17" s="95"/>
      <c r="BH17" s="95"/>
      <c r="BI17" s="95"/>
      <c r="BJ17" s="95"/>
      <c r="BK17" s="95"/>
      <c r="BL17" s="95"/>
      <c r="BM17" s="95"/>
      <c r="BN17" s="95"/>
      <c r="BO17" s="95"/>
      <c r="BP17" s="95"/>
      <c r="BQ17" s="95"/>
      <c r="BR17" s="95"/>
      <c r="BS17" s="95"/>
      <c r="BT17" s="95"/>
      <c r="BU17" s="95"/>
      <c r="BV17" s="95"/>
      <c r="BW17" s="95"/>
      <c r="BX17" s="95"/>
      <c r="BY17" s="95"/>
      <c r="BZ17" s="95"/>
      <c r="CA17" s="95"/>
      <c r="CB17" s="95"/>
      <c r="CC17" s="95"/>
      <c r="CD17" s="95"/>
      <c r="CE17" s="95"/>
      <c r="CF17" s="95"/>
      <c r="CG17" s="95"/>
      <c r="CH17" s="95"/>
      <c r="CI17" s="95"/>
      <c r="CJ17" s="95"/>
      <c r="CK17" s="95"/>
      <c r="CL17" s="95"/>
      <c r="CM17" s="95"/>
      <c r="CN17" s="95"/>
      <c r="CO17" s="95"/>
      <c r="CP17" s="95"/>
      <c r="CQ17" s="95"/>
      <c r="CR17" s="95"/>
      <c r="CS17" s="95"/>
      <c r="CT17" s="95"/>
      <c r="CU17" s="95"/>
      <c r="CV17" s="95"/>
      <c r="CW17" s="95"/>
      <c r="CX17" s="95"/>
      <c r="CY17" s="95"/>
      <c r="CZ17" s="95"/>
      <c r="DA17" s="95"/>
      <c r="DB17" s="95"/>
      <c r="DC17" s="95"/>
      <c r="DD17" s="95"/>
      <c r="DE17" s="95"/>
      <c r="DF17" s="95"/>
      <c r="DG17" s="95"/>
      <c r="DH17" s="95"/>
      <c r="DI17" s="95"/>
      <c r="DJ17" s="95"/>
      <c r="DK17" s="95"/>
      <c r="DL17" s="95"/>
      <c r="DM17" s="95"/>
      <c r="DN17" s="95"/>
      <c r="DO17" s="95"/>
      <c r="DP17" s="95"/>
      <c r="DQ17" s="95"/>
      <c r="DR17" s="95"/>
      <c r="DS17" s="95"/>
      <c r="DT17" s="95"/>
      <c r="DU17" s="95"/>
      <c r="DV17" s="95"/>
      <c r="DW17" s="95"/>
      <c r="DX17" s="95"/>
      <c r="DY17" s="95"/>
      <c r="DZ17" s="95"/>
      <c r="EA17" s="95"/>
      <c r="EB17" s="95"/>
      <c r="EC17" s="95"/>
      <c r="ED17" s="95"/>
      <c r="EE17" s="95"/>
      <c r="EF17" s="95"/>
      <c r="EG17" s="95"/>
      <c r="EH17" s="95"/>
      <c r="EI17" s="95"/>
      <c r="EJ17" s="95"/>
      <c r="EK17" s="95"/>
      <c r="EL17" s="95"/>
      <c r="EM17" s="95"/>
      <c r="EN17" s="95"/>
      <c r="EO17" s="95"/>
      <c r="EP17" s="95"/>
      <c r="EQ17" s="95"/>
      <c r="ER17" s="95"/>
      <c r="ES17" s="95"/>
      <c r="ET17" s="95"/>
      <c r="EU17" s="95"/>
      <c r="EV17" s="95"/>
      <c r="EW17" s="95"/>
      <c r="EX17" s="95"/>
      <c r="EY17" s="95"/>
      <c r="EZ17" s="95"/>
      <c r="FA17" s="95"/>
      <c r="FB17" s="95"/>
      <c r="FC17" s="95"/>
      <c r="FD17" s="95"/>
      <c r="FE17" s="95"/>
      <c r="FF17" s="95"/>
      <c r="FG17" s="95"/>
      <c r="FH17" s="95"/>
      <c r="FI17" s="95"/>
      <c r="FJ17" s="95"/>
      <c r="FK17" s="95"/>
      <c r="FL17" s="95"/>
      <c r="FM17" s="95"/>
      <c r="FN17" s="95"/>
      <c r="FO17" s="95"/>
      <c r="FP17" s="95"/>
      <c r="FQ17" s="95"/>
      <c r="FR17" s="95"/>
      <c r="FS17" s="95"/>
      <c r="FT17" s="95"/>
      <c r="FU17" s="95"/>
      <c r="FV17" s="95"/>
      <c r="FW17" s="95"/>
      <c r="FX17" s="95"/>
      <c r="FY17" s="95"/>
      <c r="FZ17" s="95"/>
      <c r="GA17" s="95"/>
      <c r="GB17" s="95"/>
      <c r="GC17" s="95"/>
      <c r="GD17" s="95"/>
      <c r="GE17" s="95"/>
      <c r="GF17" s="95"/>
      <c r="GG17" s="95"/>
      <c r="GH17" s="95"/>
      <c r="GI17" s="95"/>
      <c r="GJ17" s="95"/>
      <c r="GK17" s="95"/>
      <c r="GL17" s="95"/>
      <c r="GM17" s="95"/>
      <c r="GN17" s="95"/>
      <c r="GO17" s="95"/>
      <c r="GP17" s="95"/>
      <c r="GQ17" s="95"/>
      <c r="GR17" s="95"/>
      <c r="GS17" s="95"/>
      <c r="GT17" s="95"/>
      <c r="GU17" s="95"/>
      <c r="GV17" s="95"/>
      <c r="GW17" s="95"/>
      <c r="GX17" s="95"/>
      <c r="GY17" s="95"/>
      <c r="GZ17" s="95"/>
      <c r="HA17" s="95"/>
      <c r="HB17" s="95"/>
      <c r="HC17" s="95"/>
      <c r="HD17" s="95"/>
      <c r="HE17" s="95"/>
      <c r="HF17" s="95"/>
      <c r="HG17" s="95"/>
      <c r="HH17" s="95"/>
      <c r="HI17" s="95"/>
      <c r="HJ17" s="95"/>
      <c r="HK17" s="95"/>
      <c r="HL17" s="95"/>
      <c r="HM17" s="95"/>
      <c r="HN17" s="95"/>
      <c r="HO17" s="95"/>
      <c r="HP17" s="95"/>
      <c r="HQ17" s="95"/>
      <c r="HR17" s="95"/>
      <c r="HS17" s="95"/>
      <c r="HT17" s="95"/>
      <c r="HU17" s="95"/>
      <c r="HV17" s="95"/>
      <c r="HW17" s="95"/>
      <c r="HX17" s="95"/>
      <c r="HY17" s="95"/>
      <c r="HZ17" s="95"/>
      <c r="IA17" s="95"/>
      <c r="IB17" s="95"/>
      <c r="IC17" s="95"/>
      <c r="ID17" s="95"/>
      <c r="IE17" s="95"/>
      <c r="IF17" s="95"/>
      <c r="IG17" s="95"/>
      <c r="IH17" s="95"/>
      <c r="II17" s="95"/>
      <c r="IJ17" s="95"/>
      <c r="IK17" s="95"/>
      <c r="IL17" s="95"/>
      <c r="IM17" s="95"/>
      <c r="IN17" s="95"/>
      <c r="IO17" s="95"/>
      <c r="IP17" s="95"/>
      <c r="IQ17" s="95"/>
      <c r="IR17" s="95"/>
      <c r="IS17" s="95"/>
      <c r="IT17" s="95"/>
      <c r="IU17" s="95"/>
      <c r="IV17" s="95"/>
      <c r="IW17" s="95"/>
    </row>
    <row r="18" s="96" customFormat="true" ht="23.1" hidden="false" customHeight="false" outlineLevel="0" collapsed="false">
      <c r="A18" s="97" t="s">
        <v>310</v>
      </c>
      <c r="B18" s="97" t="s">
        <v>311</v>
      </c>
      <c r="C18" s="97" t="n">
        <v>200</v>
      </c>
      <c r="D18" s="97" t="n">
        <v>30</v>
      </c>
      <c r="E18" s="97" t="n">
        <v>0.085</v>
      </c>
      <c r="F18" s="97" t="n">
        <v>1700</v>
      </c>
      <c r="G18" s="97" t="n">
        <v>700</v>
      </c>
      <c r="H18" s="97" t="n">
        <v>190</v>
      </c>
      <c r="I18" s="97" t="n">
        <v>35</v>
      </c>
      <c r="J18" s="97" t="s">
        <v>312</v>
      </c>
      <c r="K18" s="97" t="s">
        <v>273</v>
      </c>
      <c r="L18" s="98" t="s">
        <v>313</v>
      </c>
      <c r="M18" s="97" t="n">
        <v>150</v>
      </c>
      <c r="N18" s="99" t="s">
        <v>262</v>
      </c>
      <c r="O18" s="99" t="n">
        <v>0.35</v>
      </c>
      <c r="P18" s="100" t="s">
        <v>263</v>
      </c>
      <c r="Q18" s="100" t="n">
        <v>2.3</v>
      </c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 s="95"/>
      <c r="BN18" s="95"/>
      <c r="BO18" s="95"/>
      <c r="BP18" s="95"/>
      <c r="BQ18" s="95"/>
      <c r="BR18" s="95"/>
      <c r="BS18" s="95"/>
      <c r="BT18" s="95"/>
      <c r="BU18" s="95"/>
      <c r="BV18" s="95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 s="95"/>
      <c r="CJ18" s="95"/>
      <c r="CK18" s="95"/>
      <c r="CL18" s="95"/>
      <c r="CM18" s="95"/>
      <c r="CN18" s="95"/>
      <c r="CO18" s="95"/>
      <c r="CP18" s="95"/>
      <c r="CQ18" s="95"/>
      <c r="CR18" s="95"/>
      <c r="CS18" s="95"/>
      <c r="CT18" s="95"/>
      <c r="CU18" s="95"/>
      <c r="CV18" s="95"/>
      <c r="CW18" s="95"/>
      <c r="CX18" s="95"/>
      <c r="CY18" s="95"/>
      <c r="CZ18" s="95"/>
      <c r="DA18" s="95"/>
      <c r="DB18" s="95"/>
      <c r="DC18" s="95"/>
      <c r="DD18" s="95"/>
      <c r="DE18" s="95"/>
      <c r="DF18" s="95"/>
      <c r="DG18" s="95"/>
      <c r="DH18" s="95"/>
      <c r="DI18" s="95"/>
      <c r="DJ18" s="95"/>
      <c r="DK18" s="95"/>
      <c r="DL18" s="95"/>
      <c r="DM18" s="95"/>
      <c r="DN18" s="95"/>
      <c r="DO18" s="95"/>
      <c r="DP18" s="95"/>
      <c r="DQ18" s="95"/>
      <c r="DR18" s="95"/>
      <c r="DS18" s="95"/>
      <c r="DT18" s="95"/>
      <c r="DU18" s="95"/>
      <c r="DV18" s="95"/>
      <c r="DW18" s="95"/>
      <c r="DX18" s="95"/>
      <c r="DY18" s="95"/>
      <c r="DZ18" s="95"/>
      <c r="EA18" s="95"/>
      <c r="EB18" s="95"/>
      <c r="EC18" s="95"/>
      <c r="ED18" s="95"/>
      <c r="EE18" s="95"/>
      <c r="EF18" s="95"/>
      <c r="EG18" s="95"/>
      <c r="EH18" s="95"/>
      <c r="EI18" s="95"/>
      <c r="EJ18" s="95"/>
      <c r="EK18" s="95"/>
      <c r="EL18" s="95"/>
      <c r="EM18" s="95"/>
      <c r="EN18" s="95"/>
      <c r="EO18" s="95"/>
      <c r="EP18" s="95"/>
      <c r="EQ18" s="95"/>
      <c r="ER18" s="95"/>
      <c r="ES18" s="95"/>
      <c r="ET18" s="95"/>
      <c r="EU18" s="95"/>
      <c r="EV18" s="95"/>
      <c r="EW18" s="95"/>
      <c r="EX18" s="95"/>
      <c r="EY18" s="95"/>
      <c r="EZ18" s="95"/>
      <c r="FA18" s="95"/>
      <c r="FB18" s="95"/>
      <c r="FC18" s="95"/>
      <c r="FD18" s="95"/>
      <c r="FE18" s="95"/>
      <c r="FF18" s="95"/>
      <c r="FG18" s="95"/>
      <c r="FH18" s="95"/>
      <c r="FI18" s="95"/>
      <c r="FJ18" s="95"/>
      <c r="FK18" s="95"/>
      <c r="FL18" s="95"/>
      <c r="FM18" s="95"/>
      <c r="FN18" s="95"/>
      <c r="FO18" s="95"/>
      <c r="FP18" s="95"/>
      <c r="FQ18" s="95"/>
      <c r="FR18" s="95"/>
      <c r="FS18" s="95"/>
      <c r="FT18" s="95"/>
      <c r="FU18" s="95"/>
      <c r="FV18" s="95"/>
      <c r="FW18" s="95"/>
      <c r="FX18" s="95"/>
      <c r="FY18" s="95"/>
      <c r="FZ18" s="95"/>
      <c r="GA18" s="95"/>
      <c r="GB18" s="95"/>
      <c r="GC18" s="95"/>
      <c r="GD18" s="95"/>
      <c r="GE18" s="95"/>
      <c r="GF18" s="95"/>
      <c r="GG18" s="95"/>
      <c r="GH18" s="95"/>
      <c r="GI18" s="95"/>
      <c r="GJ18" s="95"/>
      <c r="GK18" s="95"/>
      <c r="GL18" s="95"/>
      <c r="GM18" s="95"/>
      <c r="GN18" s="95"/>
      <c r="GO18" s="95"/>
      <c r="GP18" s="95"/>
      <c r="GQ18" s="95"/>
      <c r="GR18" s="95"/>
      <c r="GS18" s="95"/>
      <c r="GT18" s="95"/>
      <c r="GU18" s="95"/>
      <c r="GV18" s="95"/>
      <c r="GW18" s="95"/>
      <c r="GX18" s="95"/>
      <c r="GY18" s="95"/>
      <c r="GZ18" s="95"/>
      <c r="HA18" s="95"/>
      <c r="HB18" s="95"/>
      <c r="HC18" s="95"/>
      <c r="HD18" s="95"/>
      <c r="HE18" s="95"/>
      <c r="HF18" s="95"/>
      <c r="HG18" s="95"/>
      <c r="HH18" s="95"/>
      <c r="HI18" s="95"/>
      <c r="HJ18" s="95"/>
      <c r="HK18" s="95"/>
      <c r="HL18" s="95"/>
      <c r="HM18" s="95"/>
      <c r="HN18" s="95"/>
      <c r="HO18" s="95"/>
      <c r="HP18" s="95"/>
      <c r="HQ18" s="95"/>
      <c r="HR18" s="95"/>
      <c r="HS18" s="95"/>
      <c r="HT18" s="95"/>
      <c r="HU18" s="95"/>
      <c r="HV18" s="95"/>
      <c r="HW18" s="95"/>
      <c r="HX18" s="95"/>
      <c r="HY18" s="95"/>
      <c r="HZ18" s="95"/>
      <c r="IA18" s="95"/>
      <c r="IB18" s="95"/>
      <c r="IC18" s="95"/>
      <c r="ID18" s="95"/>
      <c r="IE18" s="95"/>
      <c r="IF18" s="95"/>
      <c r="IG18" s="95"/>
      <c r="IH18" s="95"/>
      <c r="II18" s="95"/>
      <c r="IJ18" s="95"/>
      <c r="IK18" s="95"/>
      <c r="IL18" s="95"/>
      <c r="IM18" s="95"/>
      <c r="IN18" s="95"/>
      <c r="IO18" s="95"/>
      <c r="IP18" s="95"/>
      <c r="IQ18" s="95"/>
      <c r="IR18" s="95"/>
      <c r="IS18" s="95"/>
      <c r="IT18" s="95"/>
      <c r="IU18" s="95"/>
      <c r="IV18" s="95"/>
      <c r="IW18" s="95"/>
    </row>
    <row r="19" s="96" customFormat="true" ht="44.75" hidden="false" customHeight="false" outlineLevel="0" collapsed="false">
      <c r="A19" s="97" t="s">
        <v>314</v>
      </c>
      <c r="B19" s="97" t="s">
        <v>315</v>
      </c>
      <c r="C19" s="97" t="n">
        <v>60</v>
      </c>
      <c r="D19" s="97" t="n">
        <v>2</v>
      </c>
      <c r="E19" s="97" t="n">
        <v>2.5</v>
      </c>
      <c r="F19" s="97" t="n">
        <v>50</v>
      </c>
      <c r="G19" s="97" t="n">
        <v>20</v>
      </c>
      <c r="H19" s="97" t="n">
        <v>12</v>
      </c>
      <c r="I19" s="97" t="n">
        <v>250</v>
      </c>
      <c r="J19" s="97" t="s">
        <v>316</v>
      </c>
      <c r="K19" s="97" t="s">
        <v>269</v>
      </c>
      <c r="L19" s="98" t="s">
        <v>317</v>
      </c>
      <c r="M19" s="97" t="n">
        <v>150</v>
      </c>
      <c r="N19" s="99" t="s">
        <v>250</v>
      </c>
      <c r="O19" s="99" t="n">
        <v>0.4</v>
      </c>
      <c r="P19" s="100" t="s">
        <v>251</v>
      </c>
      <c r="Q19" s="100" t="n">
        <v>2.5</v>
      </c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  <c r="AG19" s="9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95"/>
      <c r="AS19" s="95"/>
      <c r="AT19" s="95"/>
      <c r="AU19" s="95"/>
      <c r="AV19" s="95"/>
      <c r="AW19" s="95"/>
      <c r="AX19" s="95"/>
      <c r="AY19" s="95"/>
      <c r="AZ19" s="95"/>
      <c r="BA19" s="95"/>
      <c r="BB19" s="95"/>
      <c r="BC19" s="95"/>
      <c r="BD19" s="95"/>
      <c r="BE19" s="95"/>
      <c r="BF19" s="95"/>
      <c r="BG19" s="95"/>
      <c r="BH19" s="95"/>
      <c r="BI19" s="95"/>
      <c r="BJ19" s="95"/>
      <c r="BK19" s="95"/>
      <c r="BL19" s="95"/>
      <c r="BM19" s="95"/>
      <c r="BN19" s="95"/>
      <c r="BO19" s="95"/>
      <c r="BP19" s="95"/>
      <c r="BQ19" s="95"/>
      <c r="BR19" s="95"/>
      <c r="BS19" s="95"/>
      <c r="BT19" s="95"/>
      <c r="BU19" s="95"/>
      <c r="BV19" s="95"/>
      <c r="BW19" s="95"/>
      <c r="BX19" s="95"/>
      <c r="BY19" s="95"/>
      <c r="BZ19" s="95"/>
      <c r="CA19" s="95"/>
      <c r="CB19" s="95"/>
      <c r="CC19" s="95"/>
      <c r="CD19" s="95"/>
      <c r="CE19" s="95"/>
      <c r="CF19" s="95"/>
      <c r="CG19" s="95"/>
      <c r="CH19" s="95"/>
      <c r="CI19" s="95"/>
      <c r="CJ19" s="95"/>
      <c r="CK19" s="95"/>
      <c r="CL19" s="95"/>
      <c r="CM19" s="95"/>
      <c r="CN19" s="95"/>
      <c r="CO19" s="95"/>
      <c r="CP19" s="95"/>
      <c r="CQ19" s="95"/>
      <c r="CR19" s="95"/>
      <c r="CS19" s="95"/>
      <c r="CT19" s="95"/>
      <c r="CU19" s="95"/>
      <c r="CV19" s="95"/>
      <c r="CW19" s="95"/>
      <c r="CX19" s="95"/>
      <c r="CY19" s="95"/>
      <c r="CZ19" s="95"/>
      <c r="DA19" s="95"/>
      <c r="DB19" s="95"/>
      <c r="DC19" s="95"/>
      <c r="DD19" s="95"/>
      <c r="DE19" s="95"/>
      <c r="DF19" s="95"/>
      <c r="DG19" s="95"/>
      <c r="DH19" s="95"/>
      <c r="DI19" s="95"/>
      <c r="DJ19" s="95"/>
      <c r="DK19" s="95"/>
      <c r="DL19" s="95"/>
      <c r="DM19" s="95"/>
      <c r="DN19" s="95"/>
      <c r="DO19" s="95"/>
      <c r="DP19" s="95"/>
      <c r="DQ19" s="95"/>
      <c r="DR19" s="95"/>
      <c r="DS19" s="95"/>
      <c r="DT19" s="95"/>
      <c r="DU19" s="95"/>
      <c r="DV19" s="95"/>
      <c r="DW19" s="95"/>
      <c r="DX19" s="95"/>
      <c r="DY19" s="95"/>
      <c r="DZ19" s="95"/>
      <c r="EA19" s="95"/>
      <c r="EB19" s="95"/>
      <c r="EC19" s="95"/>
      <c r="ED19" s="95"/>
      <c r="EE19" s="95"/>
      <c r="EF19" s="95"/>
      <c r="EG19" s="95"/>
      <c r="EH19" s="95"/>
      <c r="EI19" s="95"/>
      <c r="EJ19" s="95"/>
      <c r="EK19" s="95"/>
      <c r="EL19" s="95"/>
      <c r="EM19" s="95"/>
      <c r="EN19" s="95"/>
      <c r="EO19" s="95"/>
      <c r="EP19" s="95"/>
      <c r="EQ19" s="95"/>
      <c r="ER19" s="95"/>
      <c r="ES19" s="95"/>
      <c r="ET19" s="95"/>
      <c r="EU19" s="95"/>
      <c r="EV19" s="95"/>
      <c r="EW19" s="95"/>
      <c r="EX19" s="95"/>
      <c r="EY19" s="95"/>
      <c r="EZ19" s="95"/>
      <c r="FA19" s="95"/>
      <c r="FB19" s="95"/>
      <c r="FC19" s="95"/>
      <c r="FD19" s="95"/>
      <c r="FE19" s="95"/>
      <c r="FF19" s="95"/>
      <c r="FG19" s="95"/>
      <c r="FH19" s="95"/>
      <c r="FI19" s="95"/>
      <c r="FJ19" s="95"/>
      <c r="FK19" s="95"/>
      <c r="FL19" s="95"/>
      <c r="FM19" s="95"/>
      <c r="FN19" s="95"/>
      <c r="FO19" s="95"/>
      <c r="FP19" s="95"/>
      <c r="FQ19" s="95"/>
      <c r="FR19" s="95"/>
      <c r="FS19" s="95"/>
      <c r="FT19" s="95"/>
      <c r="FU19" s="95"/>
      <c r="FV19" s="95"/>
      <c r="FW19" s="95"/>
      <c r="FX19" s="95"/>
      <c r="FY19" s="95"/>
      <c r="FZ19" s="95"/>
      <c r="GA19" s="95"/>
      <c r="GB19" s="95"/>
      <c r="GC19" s="95"/>
      <c r="GD19" s="95"/>
      <c r="GE19" s="95"/>
      <c r="GF19" s="95"/>
      <c r="GG19" s="95"/>
      <c r="GH19" s="95"/>
      <c r="GI19" s="95"/>
      <c r="GJ19" s="95"/>
      <c r="GK19" s="95"/>
      <c r="GL19" s="95"/>
      <c r="GM19" s="95"/>
      <c r="GN19" s="95"/>
      <c r="GO19" s="95"/>
      <c r="GP19" s="95"/>
      <c r="GQ19" s="95"/>
      <c r="GR19" s="95"/>
      <c r="GS19" s="95"/>
      <c r="GT19" s="95"/>
      <c r="GU19" s="95"/>
      <c r="GV19" s="95"/>
      <c r="GW19" s="95"/>
      <c r="GX19" s="95"/>
      <c r="GY19" s="95"/>
      <c r="GZ19" s="95"/>
      <c r="HA19" s="95"/>
      <c r="HB19" s="95"/>
      <c r="HC19" s="95"/>
      <c r="HD19" s="95"/>
      <c r="HE19" s="95"/>
      <c r="HF19" s="95"/>
      <c r="HG19" s="95"/>
      <c r="HH19" s="95"/>
      <c r="HI19" s="95"/>
      <c r="HJ19" s="95"/>
      <c r="HK19" s="95"/>
      <c r="HL19" s="95"/>
      <c r="HM19" s="95"/>
      <c r="HN19" s="95"/>
      <c r="HO19" s="95"/>
      <c r="HP19" s="95"/>
      <c r="HQ19" s="95"/>
      <c r="HR19" s="95"/>
      <c r="HS19" s="95"/>
      <c r="HT19" s="95"/>
      <c r="HU19" s="95"/>
      <c r="HV19" s="95"/>
      <c r="HW19" s="95"/>
      <c r="HX19" s="95"/>
      <c r="HY19" s="95"/>
      <c r="HZ19" s="95"/>
      <c r="IA19" s="95"/>
      <c r="IB19" s="95"/>
      <c r="IC19" s="95"/>
      <c r="ID19" s="95"/>
      <c r="IE19" s="95"/>
      <c r="IF19" s="95"/>
      <c r="IG19" s="95"/>
      <c r="IH19" s="95"/>
      <c r="II19" s="95"/>
      <c r="IJ19" s="95"/>
      <c r="IK19" s="95"/>
      <c r="IL19" s="95"/>
      <c r="IM19" s="95"/>
      <c r="IN19" s="95"/>
      <c r="IO19" s="95"/>
      <c r="IP19" s="95"/>
      <c r="IQ19" s="95"/>
      <c r="IR19" s="95"/>
      <c r="IS19" s="95"/>
      <c r="IT19" s="95"/>
      <c r="IU19" s="95"/>
      <c r="IV19" s="95"/>
      <c r="IW19" s="95"/>
    </row>
    <row r="20" customFormat="false" ht="15" hidden="false" customHeight="false" outlineLevel="0" collapsed="false">
      <c r="B20" s="95"/>
      <c r="C20" s="95"/>
      <c r="D20" s="95"/>
      <c r="E20" s="95"/>
      <c r="F20" s="95"/>
      <c r="G20" s="95"/>
      <c r="H20" s="95"/>
      <c r="I20" s="95"/>
      <c r="J20" s="95"/>
      <c r="K20" s="9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2026-04-15T08:33:27Z</dcterms:modified>
  <cp:revision>263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