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5-poles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</commentList>
</comments>
</file>

<file path=xl/sharedStrings.xml><?xml version="1.0" encoding="utf-8"?>
<sst xmlns="http://schemas.openxmlformats.org/spreadsheetml/2006/main" count="574" uniqueCount="318">
  <si>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</si>
  <si>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</si>
  <si>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</si>
  <si>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</si>
  <si>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</si>
  <si>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</si>
  <si>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</si>
  <si>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</si>
  <si>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</si>
  <si>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</si>
  <si>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</si>
  <si>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</si>
  <si>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</si>
  <si>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</si>
  <si>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</si>
  <si>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</si>
  <si>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</si>
  <si>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</si>
  <si>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</si>
  <si>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</si>
  <si>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</si>
  <si>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</si>
  <si>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</si>
  <si>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</si>
  <si>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</si>
  <si>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</si>
  <si>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</si>
  <si>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</si>
  <si>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</si>
  <si>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</si>
  <si>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</si>
  <si>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</si>
  <si>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</si>
  <si>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</si>
  <si>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</si>
  <si>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</si>
  <si>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</si>
  <si>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</si>
  <si>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</si>
  <si>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</si>
  <si>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</si>
  <si>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</si>
  <si>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</si>
  <si>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</si>
  <si>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</si>
  <si>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</si>
  <si>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</si>
  <si>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</si>
  <si>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</si>
  <si>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</si>
  <si>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</si>
  <si>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</si>
  <si>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</si>
  <si>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</si>
  <si>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</si>
  <si>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current drawn from supply. Uses predicted η (C86, Sokal Eq.2) when numeric; falls back to user-input η (C20). Press F9 until C86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</si>
  <si>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</si>
  <si>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</si>
  <si>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</si>
  <si>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</si>
  <si>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</si>
  <si>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</si>
  <si>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this is a downstream dependency (not a feedback loop): C1 does not feed back into η. Once R converges (convergence indicator shows ✅), C1 is also at its final value. The convergence check in C6 explicitly verifies C1 self-consistency. Subtract MOSFET Coss (C28, scaled by C32) from C44 for external capacitor (C29). | ⚠ Sokal Eq.7 polynomial overestimates C1 by ~18% at QL=5, ~43% at QL=7, ~100% at QL=10 vs Kazimierczuk &amp; Puczko (1987) exact analysis. For QL &gt; 7, treat C1 as a starting point only and optimize with LTspice for exact ZVS condition.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</si>
  <si>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</si>
  <si>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</si>
  <si>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</si>
  <si>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</si>
  <si>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</si>
  <si>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</si>
  <si>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</si>
  <si>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</si>
  <si>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</si>
  <si>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</si>
  <si>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</si>
  <si>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</si>
  <si>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</si>
  <si>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</si>
  <si>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</si>
  <si>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</si>
  <si>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</si>
  <si>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</si>
  <si>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</si>
  <si>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</si>
  <si>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</si>
  <si>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</si>
  <si>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</si>
  <si>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</si>
  <si>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</si>
  <si>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</si>
  <si>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</si>
  <si>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</si>
  <si>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</si>
  <si>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</si>
  <si>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</si>
  <si>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</si>
  <si>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</si>
  <si>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Step-UP (R_drain &lt; Z_load): Series L_match from DRAIN node toward load first; then shunt C_match from LOAD node (high-Z) to GND. Shunt element is on the HIGH-impedance side (Z_load). This low-pass topology blocks harmonics with L before the C shunt. Step-DOWN (R_drain &gt; Z_load): Shunt C_match from DRAIN node (high-Z) to GND first; then series L_match from drain node toward load (low-Z). Shunt element is on the HIGH-impedance side (R_drain). In BOTH cases: L_match = Q×R_min/ω; C_match = Q/(ω×R_max). ⚠ THIS L-NETWORK PROVIDES IMPEDANCE MATCH ONLY — also add the 5–7 element Chebyshev/Butterworth LPF below for harmonic attenuation (≥43 dBc FCC / ≥50 dBc IARU). [Corrected: topology now matches formulas C66/C68 and description in F66/F68.]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</si>
  <si>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</si>
  <si>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</si>
  <si>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</si>
  <si>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</si>
  <si>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</si>
  <si>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</si>
  <si>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</si>
  <si>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</si>
  <si>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</si>
  <si>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</si>
  <si>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</si>
  <si>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</si>
  <si>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</si>
  <si>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</si>
  <si>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3.562×(Vcc−Vo)+Vo   ⚠</t>
  </si>
  <si>
    <t xml:space="preserve">⚠ V_pk = 3.562×(Vcc−Vo) uses the nominal supply voltage for worst-case device selection. Supply droop reduces available power but does not lower the peak voltage seen by the device — using a drooped voltage here would underestimate V_pk and lead to selection of an insufficiently rated MOSFET. Vo = 0 for MOSFETs; use Vce(sat) or RCE(sat)×Ic for BJTs (standard Sokal formulation). Under mistuned conditions V_pk can reach 5×Vcc or more. During bench testing/tuning, reduce Vcc to 30% of design value. Choose MOSFET with V_DSS ≥ 3.56×safety_factor×Vcc (see C80).</t>
  </si>
  <si>
    <t xml:space="preserve">Minimum MOSFET V_DSS required  (3×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</si>
  <si>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</si>
  <si>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</si>
  <si>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</si>
  <si>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</si>
  <si>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</si>
  <si>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</si>
  <si>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C18)</t>
  </si>
  <si>
    <t xml:space="preserve">⚠ [HISTORICAL - UNUSED] This cell is not referenced by C88 or any active formula. Kept for reference only. Active efficiency computation is in J92→J95→C88.</t>
  </si>
  <si>
    <t xml:space="preserve">Power Dissipated  P_diss = Vcc·I_dc − P_out</t>
  </si>
  <si>
    <t xml:space="preserve">Heat to be removed by heatsink. I_dc (C42) uses predicted η (C86) when numeric, so P_diss is self-consistent with the Sokal loss model. If C86 shows N/A (no Rds in table), falls back to user-input η (C21).</t>
  </si>
  <si>
    <t xml:space="preserve">Max Allowable θ_JA  =  (T_j_max − T_amb) / P_diss</t>
  </si>
  <si>
    <t xml:space="preserve">°C/W</t>
  </si>
  <si>
    <t xml:space="preserve">FIXED: Denominator now uses MOSFET-only thermal dissipation (J98 = (Pin×1.365×Rds/R) + P_switching + P_Coss  [Pin=Pout/η]) when Rds(on) data is available. External component losses (ESR_L2, ESR_C2, RFC winding, C1 ESR) heat their respective components, NOT the MOSFET die — they must NOT be included in θ_JA calculation. Falls back to total P_diss (C89) for LDMOS/no-Rds devices (ISNUMBER(J88)=FALSE). J98 is also capped at C89 to prevent physically impossible values from the approximate switching-loss model (valid only when f &lt;&lt; fT; see fT warning in H88). LDMOS detection uses Device Type column P in the MOSFET Reference Table. Fallback: LDMOS→200°C, Si-DMOS/Si-planar→150°C.</t>
  </si>
  <si>
    <t xml:space="preserve">C2 Coeff Cross-Check:  (C2×ω×R) vs Sokal Table I  |  QL = C18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</si>
  <si>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</si>
  <si>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</si>
  <si>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</si>
  <si>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</si>
  <si>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</si>
  <si>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</si>
  <si>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</si>
  <si>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</si>
  <si>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</si>
  <si>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</si>
  <si>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</si>
  <si>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</si>
  <si>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</si>
  <si>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</si>
  <si>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</si>
  <si>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</si>
  <si>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</si>
  <si>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</si>
  <si>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</si>
  <si>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</si>
  <si>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</si>
  <si>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</si>
  <si>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</si>
  <si>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</si>
  <si>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</si>
  <si>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</si>
  <si>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</si>
  <si>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</si>
  <si>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</si>
  <si>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</si>
  <si>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</si>
  <si>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</si>
  <si>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</si>
  <si>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</si>
  <si>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</si>
  <si>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</si>
  <si>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</si>
  <si>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</si>
  <si>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</si>
  <si>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</si>
  <si>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</si>
  <si>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</si>
  <si>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</si>
  <si>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</si>
  <si>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</si>
  <si>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</si>
  <si>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</si>
  <si>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</si>
  <si>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</si>
  <si>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</si>
  <si>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</si>
  <si>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</si>
  <si>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</si>
  <si>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</si>
  <si>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</si>
  <si>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</si>
  <si>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</si>
  <si>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</si>
  <si>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</si>
  <si>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</si>
  <si>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</si>
  <si>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</si>
  <si>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</si>
  <si>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</si>
  <si>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</si>
  <si>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</si>
  <si>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</si>
  <si>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</si>
  <si>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</si>
  <si>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</si>
  <si>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</si>
  <si>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</si>
  <si>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</si>
  <si>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</si>
  <si>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</si>
  <si>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Assumes ideal R_opt source</t>
  </si>
  <si>
    <t xml:space="preserve">Attenuation at 3rd harmonic (3f)  ⚠ Assumes ideal R_opt source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</si>
  <si>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</si>
  <si>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</si>
  <si>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</si>
  <si>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</si>
  <si>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</si>
  <si>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</si>
  <si>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</si>
  <si>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</si>
  <si>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</si>
  <si>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</si>
  <si>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</si>
  <si>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</si>
  <si>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 = √(R_opt × Z_load) (geometric-mean impedance) for the centre shunt capacitor. This is the Williams &amp; Taylor asymmetric ladder approximation. For n=Z_load/R_opt in the range 1.0–2.0 (typical HF Class-E), the approximation error in C4 is ≈±(n−1)×10% relative to a full image-parameter synthesis (Zverev tables). For n=1.55 the error is ~20% in C4 value vs. using R_opt directly, which translates to 1–3 dB uncertainty in 2f harmonic attenuation. For n&gt;2.0, use the L-network+50Ω LPF on the main sheet instead. Always verify with LTspice using the actual Class-E drain impedance as source. NP0/C0G or silver-mica; rated ≥2× V_pk.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</si>
  <si>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</si>
  <si>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</si>
  <si>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</si>
  <si>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</si>
  <si>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</si>
  <si>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</si>
  <si>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</si>
  <si>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</si>
  <si>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Attenuation at 2nd harmonic (2f)  ⚠ Assumes ideal R_opt source match</t>
  </si>
  <si>
    <t xml:space="preserve">Attenuation at 3rd harmonic (3f)  ⚠ Assumes ideal R_opt source match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</si>
  <si>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</si>
  <si>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</si>
  <si>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</si>
  <si>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</si>
  <si>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</si>
  <si>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</si>
  <si>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</si>
  <si>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</si>
  <si>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</si>
  <si>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</si>
  <si>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</si>
  <si>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</si>
  <si>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</si>
  <si>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</si>
  <si>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</si>
  <si>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</si>
  <si>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</si>
  <si>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</si>
  <si>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</si>
  <si>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</si>
  <si>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</si>
  <si>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</si>
  <si>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</si>
  <si>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</si>
  <si>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</si>
  <si>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</si>
  <si>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</si>
  <si>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</si>
  <si>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</si>
  <si>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</si>
  <si>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</si>
  <si>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</si>
  <si>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</si>
  <si>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</si>
  <si>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</si>
  <si>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</si>
  <si>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</si>
  <si>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</si>
  <si>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</si>
  <si>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</si>
  <si>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</si>
  <si>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</si>
  <si>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</si>
  <si>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</si>
  <si>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</si>
  <si>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</si>
  <si>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</si>
  <si>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</si>
  <si>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</si>
  <si>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</si>
  <si>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</si>
  <si>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</si>
  <si>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</si>
  <si>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</si>
  <si>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</si>
  <si>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</si>
  <si>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</si>
  <si>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</si>
  <si>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</si>
  <si>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</si>
  <si>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</si>
  <si>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</si>
  <si>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</si>
  <si>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</si>
  <si>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</si>
  <si>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</si>
  <si>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</si>
  <si>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</si>
  <si>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</si>
  <si>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</si>
  <si>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</si>
  <si>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</si>
  <si>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</si>
  <si>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</si>
  <si>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</si>
  <si>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</si>
  <si>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</si>
  <si>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</si>
  <si>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</si>
  <si>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</si>
  <si>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</si>
  <si>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 ⚠ I_D=20A (column D) is the PULSED drain current rating; continuous I_D(cont) = 10A. Ensure Class-E I_pk (C84) ≤10A for continuous operation.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</si>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</sst>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.65" hidden="false" customHeight="fals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15" hidden="false" customHeight="fals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fals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fals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112.3" hidden="false" customHeight="fals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η=00.001 — if this value changes when you press F9, keep pressing. When stable: ✅ CONVERGED.</v>
      </c>
      <c r="D6" s="18" t="n">
        <f aca="false">C88</f>
        <v>0.804771723282204</v>
      </c>
      <c r="E6" s="12"/>
      <c r="F6" s="13"/>
      <c r="G6" s="13"/>
      <c r="H6" s="19"/>
      <c r="I6" s="9"/>
      <c r="J6" s="10"/>
      <c r="K6" s="20"/>
    </row>
    <row r="7" customFormat="false" ht="15" hidden="false" customHeight="fals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fals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fals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C86 returns input η (C20) unchanged; no loss calculation is performed. Verify η from manufacturer datasheet or LTspice simulation.")</f>
        <v/>
      </c>
      <c r="J9" s="10"/>
    </row>
    <row r="10" customFormat="false" ht="15" hidden="false" customHeight="fals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fals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fals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 OK","✅ V_DSS OK | ⚠ I_D="&amp;TEXT(IFERROR(VLOOKUP(B9,'MOSFET Reference Table'!$A:$D,4,0),"?"),"0.0")&amp;"A &lt; I_pk="&amp;TEXT(C86,"0.00")&amp;"A"))</f>
        <v>✅ V_DSS OK | I_D OK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fals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fals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fals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fals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fals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.6" hidden="false" customHeight="fals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0.007 MHz</v>
      </c>
      <c r="F18" s="42"/>
      <c r="G18" s="45"/>
      <c r="H18" s="8"/>
      <c r="I18" s="8"/>
      <c r="J18" s="10"/>
    </row>
    <row r="19" customFormat="false" ht="53.7" hidden="false" customHeight="fals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fals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05.75" hidden="false" customHeight="fals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C86="&amp;TEXT(C88,"0.0%")&amp;". C86 is always used — C21 is informational only.","✅ η analytical (C86) — no iteration required. C21 is informational."),"⚠ C86 not numeric — check MOSFET table"))</f>
        <v>ℹ C21=92% differs from analytical C86=80%. C86 is always used — C21 is informational only.</v>
      </c>
      <c r="F21" s="42"/>
      <c r="G21" s="45"/>
      <c r="H21" s="8"/>
      <c r="I21" s="9"/>
      <c r="J21" s="10"/>
    </row>
    <row r="22" customFormat="false" ht="66.75" hidden="false" customHeight="fals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40.5" hidden="false" customHeight="fals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IF(AND(ISNUMBER(C23),ISNUMBER(C43),C16-C35&gt;0),IF(ABS(C23*C43/(C16-C35)-0.01)&gt;0.005,"⚠ RFC actual loss="&amp;TEXT(C23*C43/(C16-C35)*100,"0.0")&amp;"% vs Sokal fixed 1% (−0.01 term). Δη="&amp;TEXT(C23*C43/(C16-C35)-0.01,"0.000")&amp;". Adjust input η (C20) accordingly.","✅ RFC loss≈"&amp;TEXT(C23*C43/(C16-C35)*100,"0.0")&amp;"% — Sokal −0.01 fixed term accurate."),"—")</f>
        <v>⚠ RFC actual loss=00% vs Sokal fixed 1% (−0.01 term). Δη=0.000. Adjust input η (C20) accordingly.</v>
      </c>
      <c r="I23" s="9"/>
      <c r="J23" s="10"/>
    </row>
    <row r="24" customFormat="false" ht="15" hidden="false" customHeight="fals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fals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53.7" hidden="false" customHeight="fals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fals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fals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fals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fals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fals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fals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9"/>
      <c r="J32" s="10"/>
    </row>
    <row r="33" customFormat="false" ht="53.7" hidden="false" customHeight="false" outlineLevel="0" collapsed="false">
      <c r="A33" s="6"/>
      <c r="B33" s="42" t="s">
        <v>37</v>
      </c>
      <c r="C33" s="48" t="n">
        <f aca="false">IF(C49-C32*$C$36&lt;0,"🚨 OVER-CAPACITANCE: Coss_eff ("&amp;TEXT(C32*$C$36,"0.0")&amp;" pF) &gt; C1_req ("&amp;TEXT(C49,"0.0")&amp;" pF). MOSFET Coss is too large for Class-E ZVS at this frequency/power. Select a device with lower Coss, reduce f, or increase Pout/Vcc to raise R and reduce C1.",MAX(C49-C32*$C$36,0))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fals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fals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05.75" hidden="false" customHeight="fals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45" t="n">
        <f aca="false">IFERROR(IF(VLOOKUP(B9,'MOSFET Reference Table'!$A:$P,16,0)="Si-planar",0.45,IF(VLOOKUP(B9,'MOSFET Reference Table'!$A:$P,16,0)="Si-DMOS",0.35,IF(VLOOKUP(B9,'MOSFET Reference Table'!$A:$P,16,0)="LDMOS",0.08,IF(VLOOKUP(B9,'MOSFET Reference Table'!$A:$P,16,0)="GaN",0.05,0.25)))),0.25)</f>
        <v>0.45</v>
      </c>
      <c r="J36" s="10"/>
    </row>
    <row r="37" customFormat="false" ht="27.6" hidden="false" customHeight="fals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fals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.65" hidden="false" customHeight="false" outlineLevel="0" collapsed="false">
      <c r="A39" s="6"/>
      <c r="B39" s="49" t="s">
        <v>46</v>
      </c>
      <c r="C39" s="49"/>
      <c r="D39" s="34"/>
      <c r="E39" s="35"/>
      <c r="F39" s="50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1"/>
      <c r="H39" s="8"/>
      <c r="I39" s="9"/>
      <c r="J39" s="10"/>
    </row>
    <row r="40" customFormat="false" ht="15" hidden="false" customHeight="fals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15" hidden="false" customHeight="false" outlineLevel="0" collapsed="false">
      <c r="A41" s="6"/>
      <c r="B41" s="42" t="s">
        <v>48</v>
      </c>
      <c r="C41" s="52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66.75" hidden="false" customHeight="false" outlineLevel="0" collapsed="false">
      <c r="A42" s="6"/>
      <c r="B42" s="42" t="s">
        <v>51</v>
      </c>
      <c r="C42" s="52" t="n">
        <f aca="false">IF(C19&lt;=1.7879,"⚠ QL≤min (1.7879) — C2→∞, Class-E boundary",(C44^2/C17)*0.576801*(1.0000086-0.414395/C19-0.577501/C19^2+0.205967/C19^3))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27.6" hidden="false" customHeight="false" outlineLevel="0" collapsed="false">
      <c r="A43" s="6"/>
      <c r="B43" s="42" t="s">
        <v>53</v>
      </c>
      <c r="C43" s="52" t="n">
        <f aca="false">C17/((C16-C35)*IF(ISNUMBER(C88),C88,C21))</f>
        <v>0.0994070712048949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27.6" hidden="false" customHeight="false" outlineLevel="0" collapsed="false">
      <c r="A44" s="6"/>
      <c r="B44" s="42" t="s">
        <v>56</v>
      </c>
      <c r="C44" s="52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false" outlineLevel="0" collapsed="false">
      <c r="A45" s="6"/>
      <c r="B45" s="7"/>
      <c r="C45" s="7"/>
      <c r="D45" s="6"/>
      <c r="E45" s="53"/>
      <c r="F45" s="9"/>
      <c r="G45" s="9"/>
      <c r="H45" s="8"/>
      <c r="I45" s="9"/>
      <c r="J45" s="10"/>
    </row>
    <row r="46" customFormat="false" ht="15.65" hidden="false" customHeight="fals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fals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4"/>
      <c r="H47" s="40"/>
      <c r="I47" s="41"/>
      <c r="J47" s="10"/>
    </row>
    <row r="48" customFormat="false" ht="145.1" hidden="false" customHeight="false" outlineLevel="0" collapsed="false">
      <c r="A48" s="6"/>
      <c r="B48" s="42" t="s">
        <v>60</v>
      </c>
      <c r="C48" s="52" t="n">
        <f aca="false">IF(C19&lt;=1.7879,"⚠ QL≤min (1.7879) — C2→∞, Class-E boundary",(0.99866+0.91424/C19-1.03175/C19^2)/(5.4466*C41*C42)+0.6/(C41^2*C54))</f>
        <v>1.55862361810011E-010</v>
      </c>
      <c r="D48" s="31" t="s">
        <v>61</v>
      </c>
      <c r="E48" s="53"/>
      <c r="F48" s="35" t="s">
        <v>62</v>
      </c>
      <c r="G48" s="9"/>
      <c r="H48" s="8"/>
      <c r="I48" s="9"/>
      <c r="J48" s="10"/>
    </row>
    <row r="49" customFormat="false" ht="15" hidden="false" customHeight="false" outlineLevel="0" collapsed="false">
      <c r="A49" s="6"/>
      <c r="B49" s="42" t="s">
        <v>63</v>
      </c>
      <c r="C49" s="52" t="n">
        <f aca="false">C48*1000000000000</f>
        <v>155.862361810011</v>
      </c>
      <c r="D49" s="31" t="s">
        <v>30</v>
      </c>
      <c r="E49" s="55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1"/>
      <c r="H49" s="8"/>
      <c r="I49" s="9"/>
      <c r="J49" s="10"/>
    </row>
    <row r="50" customFormat="false" ht="27.6" hidden="false" customHeight="false" outlineLevel="0" collapsed="false">
      <c r="A50" s="6"/>
      <c r="B50" s="42" t="s">
        <v>65</v>
      </c>
      <c r="C50" s="52" t="n">
        <f aca="false">IF(C19&lt;=1.7879,"⚠ QL≤min (1.7879) — C2→∞, Class-E boundary",C19*C42/C41)</f>
        <v>3.67070669254962E-006</v>
      </c>
      <c r="D50" s="31" t="s">
        <v>66</v>
      </c>
      <c r="E50" s="56"/>
      <c r="F50" s="35" t="s">
        <v>67</v>
      </c>
      <c r="G50" s="9"/>
      <c r="H50" s="8"/>
      <c r="I50" s="9"/>
      <c r="J50" s="10"/>
    </row>
    <row r="51" customFormat="false" ht="15" hidden="false" customHeight="false" outlineLevel="0" collapsed="false">
      <c r="A51" s="6"/>
      <c r="B51" s="42" t="s">
        <v>68</v>
      </c>
      <c r="C51" s="52" t="n">
        <f aca="false">C50*1000000</f>
        <v>3.67070669254962</v>
      </c>
      <c r="D51" s="31" t="s">
        <v>69</v>
      </c>
      <c r="E51" s="55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04 µH</v>
      </c>
      <c r="F51" s="35" t="s">
        <v>70</v>
      </c>
      <c r="G51" s="9"/>
      <c r="H51" s="8"/>
      <c r="I51" s="9"/>
      <c r="J51" s="10"/>
    </row>
    <row r="52" customFormat="false" ht="40.5" hidden="false" customHeight="false" outlineLevel="0" collapsed="false">
      <c r="A52" s="6"/>
      <c r="B52" s="42" t="s">
        <v>71</v>
      </c>
      <c r="C52" s="52" t="n">
        <f aca="false">IF(C19&lt;=1.7879,"⚠ QL≤min (1.7879) — C2→∞, Class-E boundary",IF((1/(C41*C42))*(1/(C19-0.104823))*(1.00121+1.01468/(C19-1.7879))-0.2/(C41^2*C54)&lt;0,"⚠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</f>
        <v>1.86642671516552E-010</v>
      </c>
      <c r="D52" s="31" t="s">
        <v>61</v>
      </c>
      <c r="E52" s="56" t="str">
        <f aca="false">IF(ISNUMBER(C19),IF(C19&lt;=1.7879,"⚠ QL≤min (1.7879) — C2→∞, Class-E boundary",IF(C19&lt;1.9,"⚠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false" outlineLevel="0" collapsed="false">
      <c r="A53" s="6"/>
      <c r="B53" s="42" t="s">
        <v>72</v>
      </c>
      <c r="C53" s="52" t="n">
        <f aca="false">IF(ISNUMBER(C52),C52*1000000000000,C52)</f>
        <v>186.642671516552</v>
      </c>
      <c r="D53" s="31" t="s">
        <v>30</v>
      </c>
      <c r="E53" s="55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15" hidden="false" customHeight="false" outlineLevel="0" collapsed="false">
      <c r="A54" s="6"/>
      <c r="B54" s="42" t="s">
        <v>74</v>
      </c>
      <c r="C54" s="52" t="n">
        <f aca="false">IF(ISNUMBER(C42),50*C42/C41,"⚠ R invalid — set QL ≥ 1.7879 first")</f>
        <v>3.67070669254962E-005</v>
      </c>
      <c r="D54" s="31" t="s">
        <v>66</v>
      </c>
      <c r="E54" s="56"/>
      <c r="F54" s="35" t="s">
        <v>75</v>
      </c>
      <c r="G54" s="9"/>
      <c r="H54" s="8"/>
      <c r="I54" s="9"/>
      <c r="J54" s="10"/>
    </row>
    <row r="55" customFormat="false" ht="105.75" hidden="false" customHeight="false" outlineLevel="0" collapsed="false">
      <c r="A55" s="6"/>
      <c r="B55" s="42" t="s">
        <v>76</v>
      </c>
      <c r="C55" s="52" t="n">
        <f aca="false">IF(ISNUMBER(C54),C54*1000000,C54)</f>
        <v>36.7070669254962</v>
      </c>
      <c r="D55" s="31" t="s">
        <v>69</v>
      </c>
      <c r="E55" s="55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036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(C54)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0.000 A (C39). Sokal QEX 2001: choke reactance ≥ 30×R; RFC (C54)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0.5" hidden="false" customHeight="false" outlineLevel="0" collapsed="false">
      <c r="A56" s="6"/>
      <c r="B56" s="42" t="s">
        <v>77</v>
      </c>
      <c r="C56" s="52" t="n">
        <f aca="false">IF(C19&lt;=1.7879,"⚠ QL≤min (1.7879) — C2→∞, Class-E boundary",IF(NOT(ISNUMBER(C52)),"⚠ C2 invalid",C50-1/(C52*C41^2)))</f>
        <v>9.01003439261812E-007</v>
      </c>
      <c r="D56" s="31" t="s">
        <v>66</v>
      </c>
      <c r="E56" s="56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40.5" hidden="false" customHeight="false" outlineLevel="0" collapsed="false">
      <c r="A57" s="6"/>
      <c r="B57" s="42" t="s">
        <v>79</v>
      </c>
      <c r="C57" s="52" t="n">
        <f aca="false">IF(ISNUMBER(C56),C56*1000000,C56)</f>
        <v>0.901003439261812</v>
      </c>
      <c r="D57" s="31" t="s">
        <v>69</v>
      </c>
      <c r="E57" s="55"/>
      <c r="F57" s="35" t="s">
        <v>80</v>
      </c>
      <c r="G57" s="9"/>
      <c r="H57" s="8"/>
      <c r="I57" s="9"/>
      <c r="J57" s="10"/>
    </row>
    <row r="58" customFormat="false" ht="53.7" hidden="false" customHeight="false" outlineLevel="0" collapsed="false">
      <c r="A58" s="6"/>
      <c r="B58" s="42" t="s">
        <v>81</v>
      </c>
      <c r="C58" s="52" t="n">
        <f aca="false">IF(C19&lt;=1.7879,"⚠ QL≤min (1.7879) — C2→∞, Class-E boundary",IF(NOT(ISNUMBER(C52)),"⚠ C2 invalid — check QL/frequency",C50))</f>
        <v>3.67070669254962E-006</v>
      </c>
      <c r="D58" s="31" t="s">
        <v>66</v>
      </c>
      <c r="E58" s="56"/>
      <c r="F58" s="35" t="s">
        <v>82</v>
      </c>
      <c r="G58" s="9"/>
      <c r="H58" s="8"/>
      <c r="I58" s="9"/>
      <c r="J58" s="10"/>
    </row>
    <row r="59" customFormat="false" ht="27.6" hidden="false" customHeight="false" outlineLevel="0" collapsed="false">
      <c r="A59" s="6"/>
      <c r="B59" s="42" t="s">
        <v>83</v>
      </c>
      <c r="C59" s="52" t="n">
        <f aca="false">IF(ISNUMBER(C58),C58*1000000,C58)</f>
        <v>3.67070669254962</v>
      </c>
      <c r="D59" s="31" t="s">
        <v>69</v>
      </c>
      <c r="E59" s="55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04 µH</v>
      </c>
      <c r="F59" s="35" t="s">
        <v>84</v>
      </c>
      <c r="G59" s="9"/>
      <c r="H59" s="8"/>
      <c r="I59" s="9"/>
      <c r="J59" s="10"/>
    </row>
    <row r="60" customFormat="false" ht="15" hidden="false" customHeight="false" outlineLevel="0" collapsed="false">
      <c r="A60" s="6"/>
      <c r="B60" s="7"/>
      <c r="C60" s="7"/>
      <c r="D60" s="6"/>
      <c r="E60" s="53"/>
      <c r="F60" s="9"/>
      <c r="G60" s="9"/>
      <c r="H60" s="8"/>
      <c r="I60" s="9"/>
      <c r="J60" s="10"/>
    </row>
    <row r="61" customFormat="false" ht="15.65" hidden="false" customHeight="fals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fals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false" outlineLevel="0" collapsed="false">
      <c r="A63" s="6"/>
      <c r="B63" s="42" t="s">
        <v>86</v>
      </c>
      <c r="C63" s="52" t="n">
        <f aca="false">C42</f>
        <v>32.289222500631</v>
      </c>
      <c r="D63" s="31" t="s">
        <v>22</v>
      </c>
      <c r="E63" s="53"/>
      <c r="F63" s="35" t="s">
        <v>87</v>
      </c>
      <c r="G63" s="9"/>
      <c r="H63" s="8"/>
      <c r="I63" s="9"/>
      <c r="J63" s="10"/>
    </row>
    <row r="64" customFormat="false" ht="15" hidden="false" customHeight="false" outlineLevel="0" collapsed="false">
      <c r="A64" s="6"/>
      <c r="B64" s="42" t="s">
        <v>88</v>
      </c>
      <c r="C64" s="52" t="n">
        <f aca="false">C25</f>
        <v>50</v>
      </c>
      <c r="D64" s="31" t="s">
        <v>22</v>
      </c>
      <c r="E64" s="53"/>
      <c r="F64" s="35" t="s">
        <v>89</v>
      </c>
      <c r="G64" s="9"/>
      <c r="H64" s="8"/>
      <c r="I64" s="9"/>
      <c r="J64" s="10"/>
    </row>
    <row r="65" customFormat="false" ht="40.5" hidden="false" customHeight="false" outlineLevel="0" collapsed="false">
      <c r="A65" s="6"/>
      <c r="B65" s="42" t="s">
        <v>90</v>
      </c>
      <c r="C65" s="52" t="n">
        <f aca="false">IF(ABS(C63-C64)&lt;0.01*MAX(C63,C64),0,SQRT(MAX(C63,C64)/MIN(C63,C64)-1))</f>
        <v>0.740610763852502</v>
      </c>
      <c r="D65" s="31" t="s">
        <v>18</v>
      </c>
      <c r="E65" s="53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Q_match=0,74: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66.75" hidden="false" customHeight="false" outlineLevel="0" collapsed="false">
      <c r="A66" s="6"/>
      <c r="B66" s="42" t="s">
        <v>91</v>
      </c>
      <c r="C66" s="52" t="n">
        <f aca="false">IF(C41&lt;=0,0,C65*MIN(C63,C64)/C41)</f>
        <v>5.43712977489534E-007</v>
      </c>
      <c r="D66" s="31" t="s">
        <v>66</v>
      </c>
      <c r="E66" s="53"/>
      <c r="F66" s="35" t="str">
        <f aca="false">IF(C70="Step-UP","Step-UP: Series L_match in series from DRAIN node first (toward load); then shunt C_match from LOAD node to GND. Shunt element is always on the HIGH-impedance side (Z_load). L_match=Q×R_min/ω; C_match=Q/(ω×R_max). ⚠ C_match is at the LOAD/antenna end, NOT at the drain.","Step-DOWN: Shunt C_match from DRAIN node (high-Z) to GND first; then series L_match from drain node toward load (low-Z). Shunt element is always on the HIGH-impedance side (R_drain). L_match=Q×R_min/ω; C_match=Q/(ω×R_max). ⚠ C_match is at the DRAIN end, NOT at the load.")</f>
        <v>Step-UP: Series L_match in series from DRAIN node first (toward load); then shunt C_match from LOAD node to GND. Shunt element is always on the HIGH-impedance side (Z_load). L_match=Q×R_min/ω; C_match=Q/(ω×R_max). ⚠ C_match is at the LOAD/antenna end, NOT at the drain.</v>
      </c>
      <c r="G66" s="9"/>
      <c r="H66" s="8"/>
      <c r="I66" s="9"/>
      <c r="J66" s="10"/>
    </row>
    <row r="67" customFormat="false" ht="15" hidden="false" customHeight="false" outlineLevel="0" collapsed="false">
      <c r="A67" s="6"/>
      <c r="B67" s="42" t="s">
        <v>92</v>
      </c>
      <c r="C67" s="52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01 µH</v>
      </c>
      <c r="F67" s="57"/>
      <c r="G67" s="9"/>
      <c r="H67" s="8"/>
      <c r="I67" s="9"/>
      <c r="J67" s="10"/>
    </row>
    <row r="68" customFormat="false" ht="40.5" hidden="false" customHeight="false" outlineLevel="0" collapsed="false">
      <c r="A68" s="6"/>
      <c r="B68" s="42" t="s">
        <v>93</v>
      </c>
      <c r="C68" s="52" t="n">
        <f aca="false">C65/(C41*MAX(C63,C64))</f>
        <v>3.36776754211972E-010</v>
      </c>
      <c r="D68" s="31" t="s">
        <v>61</v>
      </c>
      <c r="E68" s="53"/>
      <c r="F68" s="35" t="str">
        <f aca="false">IF(C70="Step-UP","Step-UP: C_match is the SHUNT element at the LOAD (high-Z) node — placed AFTER L_match, at the antenna/load end. Shunt element is on the HIGH-impedance side for both topologies.","Step-DOWN: C_match is the SHUNT element at the DRAIN (high-Z) node — placed BEFORE L_match, at the drain end. Shunt element is on the HIGH-impedance side.")</f>
        <v>Step-UP: C_match is the SHUNT element at the LOAD (high-Z) node — placed AFTER L_match, at the antenna/load end. Shunt element is on the HIGH-impedance side for both topologies.</v>
      </c>
      <c r="G68" s="9"/>
      <c r="H68" s="8"/>
      <c r="I68" s="9"/>
      <c r="J68" s="10"/>
    </row>
    <row r="69" customFormat="false" ht="15" hidden="false" customHeight="false" outlineLevel="0" collapsed="false">
      <c r="A69" s="6"/>
      <c r="B69" s="42" t="s">
        <v>94</v>
      </c>
      <c r="C69" s="52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7"/>
      <c r="G69" s="9"/>
      <c r="H69" s="8"/>
      <c r="I69" s="9"/>
      <c r="J69" s="10"/>
    </row>
    <row r="70" customFormat="false" ht="145.1" hidden="false" customHeight="false" outlineLevel="0" collapsed="false">
      <c r="A70" s="6"/>
      <c r="B70" s="42" t="s">
        <v>95</v>
      </c>
      <c r="C70" s="58" t="str">
        <f aca="false">IF(C63&lt;C64,"Step-UP","Step-DOWN")</f>
        <v>Step-UP</v>
      </c>
      <c r="D70" s="45"/>
      <c r="E70" s="53"/>
      <c r="F70" s="57" t="s">
        <v>96</v>
      </c>
      <c r="G70" s="9"/>
      <c r="H70" s="8"/>
      <c r="I70" s="9"/>
      <c r="J70" s="10"/>
    </row>
    <row r="71" customFormat="false" ht="15" hidden="false" customHeight="false" outlineLevel="0" collapsed="false">
      <c r="A71" s="6"/>
      <c r="B71" s="7"/>
      <c r="C71" s="7"/>
      <c r="D71" s="6"/>
      <c r="E71" s="53"/>
      <c r="F71" s="9"/>
      <c r="G71" s="9"/>
      <c r="H71" s="8"/>
      <c r="I71" s="9"/>
      <c r="J71" s="10"/>
    </row>
    <row r="72" customFormat="false" ht="15.65" hidden="false" customHeight="fals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fals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27.6" hidden="false" customHeight="false" outlineLevel="0" collapsed="false">
      <c r="A74" s="6"/>
      <c r="B74" s="42" t="s">
        <v>98</v>
      </c>
      <c r="C74" s="52" t="n">
        <f aca="false">1/(C41*C27*0.000000000001)</f>
        <v>378.940340694989</v>
      </c>
      <c r="D74" s="31" t="s">
        <v>22</v>
      </c>
      <c r="E74" s="53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Xciss=379Ω | Rgate=10Ω | ratio=38× — series-resonance model (accurate)</v>
      </c>
      <c r="I74" s="9"/>
      <c r="J74" s="10"/>
    </row>
    <row r="75" customFormat="false" ht="27.6" hidden="false" customHeight="false" outlineLevel="0" collapsed="false">
      <c r="A75" s="6"/>
      <c r="B75" s="42" t="s">
        <v>100</v>
      </c>
      <c r="C75" s="52" t="n">
        <f aca="false">SQRT(C74^2+C28^2)</f>
        <v>379.072264622505</v>
      </c>
      <c r="D75" s="31" t="s">
        <v>22</v>
      </c>
      <c r="E75" s="53"/>
      <c r="F75" s="35" t="s">
        <v>101</v>
      </c>
      <c r="G75" s="9"/>
      <c r="H75" s="8"/>
      <c r="I75" s="9"/>
      <c r="J75" s="10"/>
    </row>
    <row r="76" customFormat="false" ht="15" hidden="false" customHeight="false" outlineLevel="0" collapsed="false">
      <c r="A76" s="6"/>
      <c r="B76" s="42" t="s">
        <v>102</v>
      </c>
      <c r="C76" s="52" t="n">
        <f aca="false">C24</f>
        <v>50</v>
      </c>
      <c r="D76" s="31" t="s">
        <v>22</v>
      </c>
      <c r="E76" s="53"/>
      <c r="F76" s="35" t="s">
        <v>103</v>
      </c>
      <c r="G76" s="9"/>
      <c r="H76" s="8"/>
      <c r="I76" s="9"/>
      <c r="J76" s="10"/>
    </row>
    <row r="77" customFormat="false" ht="66.75" hidden="false" customHeight="false" outlineLevel="0" collapsed="false">
      <c r="A77" s="6"/>
      <c r="B77" s="42" t="s">
        <v>104</v>
      </c>
      <c r="C77" s="52" t="n">
        <f aca="false">IF(C28=0,0,SQRT(MAX(MAX(C76,C28)/MIN(C76,C28)-1,0)))</f>
        <v>2</v>
      </c>
      <c r="D77" s="31" t="s">
        <v>18</v>
      </c>
      <c r="E77" s="53"/>
      <c r="F77" s="35" t="s">
        <v>105</v>
      </c>
      <c r="G77" s="9"/>
      <c r="H77" s="8"/>
      <c r="I77" s="9"/>
      <c r="J77" s="10"/>
    </row>
    <row r="78" customFormat="false" ht="105.75" hidden="false" customHeight="false" outlineLevel="0" collapsed="false">
      <c r="A78" s="6"/>
      <c r="B78" s="42" t="s">
        <v>106</v>
      </c>
      <c r="C78" s="52" t="n">
        <f aca="false">IF(C74&lt;3*C28,"⚠ Xciss&lt;3×Rgate: series-resonance model invalid — use complex L-network synthesis (ADS/LTspice).",(C74+C77*MIN(C76,C28))/C41*1000000)</f>
        <v>9.07047531719604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Xciss/Rgate=38× ≥ 10 — Series resonance dominates. L_in=1/(ω²·Ciss)+Q·R_min/ω=0.009µH (transformation term=0.000µH, 0% of total). Verify with LTspice.</v>
      </c>
      <c r="I78" s="9"/>
      <c r="J78" s="10"/>
    </row>
    <row r="79" customFormat="false" ht="79.5" hidden="false" customHeight="false" outlineLevel="0" collapsed="false">
      <c r="A79" s="6"/>
      <c r="B79" s="42" t="s">
        <v>108</v>
      </c>
      <c r="C79" s="52" t="str">
        <f aca="false">IF(C74/C28&gt;=10,"⚠ C_in negligible — omit (series resonance mode)",IF(C76&gt;=C28,C77/(C41*C76)*1000000000000,C77/(C41*C28)*1000000000000))</f>
        <v>⚠ C_in negligible — omit (series resonance mode)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false" outlineLevel="0" collapsed="false">
      <c r="A80" s="6"/>
      <c r="B80" s="7"/>
      <c r="C80" s="7"/>
      <c r="D80" s="6"/>
      <c r="E80" s="53"/>
      <c r="F80" s="9"/>
      <c r="G80" s="9"/>
      <c r="H80" s="8"/>
      <c r="I80" s="9"/>
      <c r="J80" s="10"/>
    </row>
    <row r="81" customFormat="false" ht="15.65" hidden="false" customHeight="fals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fals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05.75" hidden="false" customHeight="false" outlineLevel="0" collapsed="false">
      <c r="A83" s="6"/>
      <c r="B83" s="42" t="s">
        <v>111</v>
      </c>
      <c r="C83" s="52" t="n">
        <f aca="false">3.562*(C16-C20)+C20</f>
        <v>17.81</v>
      </c>
      <c r="D83" s="31" t="s">
        <v>12</v>
      </c>
      <c r="E83" s="44"/>
      <c r="F83" s="35" t="s">
        <v>112</v>
      </c>
      <c r="G83" s="9" t="str">
        <f aca="false">""</f>
        <v/>
      </c>
      <c r="H83" s="8"/>
      <c r="I83" s="9"/>
      <c r="J83" s="10"/>
    </row>
    <row r="84" customFormat="false" ht="66.75" hidden="false" customHeight="false" outlineLevel="0" collapsed="false">
      <c r="A84" s="6"/>
      <c r="B84" s="42" t="s">
        <v>113</v>
      </c>
      <c r="C84" s="52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(03× safety margin applied: V_pk_nominal=18V × 03).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40.5" hidden="false" customHeight="false" outlineLevel="0" collapsed="false">
      <c r="A85" s="6"/>
      <c r="B85" s="42" t="s">
        <v>114</v>
      </c>
      <c r="C85" s="52" t="n">
        <f aca="false">IF(AND(ISNUMBER(C42),ISNUMBER(C54)),3.562*(C16-C35-C20)*(1+0.6*C42/(C41*C54))+C20,"⚠ R invalid — set QL ≥ 1.7879")</f>
        <v>18.02372</v>
      </c>
      <c r="D85" s="31" t="s">
        <v>12</v>
      </c>
      <c r="E85" s="44"/>
      <c r="F85" s="35" t="s">
        <v>115</v>
      </c>
      <c r="G85" s="9" t="str">
        <f aca="false">IF(C20&gt;0,"⚠ C85 informational only — use C84 for device selection.","")</f>
        <v/>
      </c>
      <c r="H85" s="44"/>
      <c r="I85" s="8"/>
      <c r="J85" s="10"/>
    </row>
    <row r="86" customFormat="false" ht="15" hidden="false" customHeight="false" outlineLevel="0" collapsed="false">
      <c r="A86" s="6"/>
      <c r="B86" s="42" t="s">
        <v>116</v>
      </c>
      <c r="C86" s="52" t="n">
        <f aca="false">2.862*C43</f>
        <v>0.284503037788409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.6" hidden="false" customHeight="false" outlineLevel="0" collapsed="false">
      <c r="A87" s="6"/>
      <c r="B87" s="42" t="s">
        <v>118</v>
      </c>
      <c r="C87" s="52" t="n">
        <f aca="false">C43</f>
        <v>0.0994070712048949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53.7" hidden="false" customHeight="false" outlineLevel="0" collapsed="false">
      <c r="A88" s="6"/>
      <c r="B88" s="42" t="s">
        <v>120</v>
      </c>
      <c r="C88" s="52" t="n">
        <f aca="false">IF(NOT(ISNUMBER(C42)),"⚠ R (C40) invalid — fix QL in C18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0.804771723282204</v>
      </c>
      <c r="D88" s="31" t="s">
        <v>18</v>
      </c>
      <c r="E88" s="44" t="str">
        <f aca="false">IF(ISNUMBER(C88),IF(ABS(C88-C21)&gt;0.005,"ℹ Analytical η="&amp;TEXT(C88,"0.0%")&amp;" (closed-form). C20 informational.","✅ η analytical — self-consistent. No iteration required."),"—")</f>
        <v>ℹ Analytical η=80% (closed-form). C20 informational.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ESR_RFC×I_dc²/P_out (direct substitution, replacing Sokal fixed 1% term).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</v>
      </c>
      <c r="G88" s="9" t="s">
        <v>121</v>
      </c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40.5" hidden="false" customHeight="false" outlineLevel="0" collapsed="false">
      <c r="A89" s="6"/>
      <c r="B89" s="42" t="s">
        <v>122</v>
      </c>
      <c r="C89" s="52" t="n">
        <f aca="false">(C16-C35)*C43-C17</f>
        <v>0.0970353560244745</v>
      </c>
      <c r="D89" s="31" t="s">
        <v>14</v>
      </c>
      <c r="E89" s="44"/>
      <c r="F89" s="35" t="s">
        <v>123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132" hidden="false" customHeight="false" outlineLevel="0" collapsed="false">
      <c r="A90" s="6"/>
      <c r="B90" s="42" t="s">
        <v>124</v>
      </c>
      <c r="C90" s="52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Table'!$A:$A,0)),""))="LDMOS",200,150))-C29)/IFERROR(IF(ISNUMBER(J88),MIN(J98,C89),C89),C89))</f>
        <v>1288.19025478169</v>
      </c>
      <c r="D90" s="31" t="s">
        <v>125</v>
      </c>
      <c r="E90" s="44"/>
      <c r="F90" s="35" t="s">
        <v>126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/>
      <c r="J90" s="10" t="n">
        <f aca="false">IF(ISNUMBER(J88),C22+C30+1.365*J88+0.2116*C31,0)</f>
        <v>6.887116</v>
      </c>
    </row>
    <row r="91" customFormat="false" ht="53.7" hidden="false" customHeight="false" outlineLevel="0" collapsed="false">
      <c r="A91" s="6"/>
      <c r="B91" s="42" t="s">
        <v>127</v>
      </c>
      <c r="C91" s="52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C2·ω·R=000.000 | Sokal Eq.9=000.000 ✔OK</v>
      </c>
      <c r="D91" s="31" t="s">
        <v>18</v>
      </c>
      <c r="E91" s="44"/>
      <c r="F91" s="35" t="s">
        <v>128</v>
      </c>
      <c r="G91" s="9"/>
      <c r="H91" s="8"/>
      <c r="I91" s="9"/>
      <c r="J91" s="10" t="n">
        <f aca="false">IF(ISNUMBER(C19),IF(C19&gt;0,0.576801*(1.0000086-0.414395/C19-0.577501/C19^2+0.205967/C19^3),0),0)</f>
        <v>0.516627560010096</v>
      </c>
    </row>
    <row r="92" customFormat="false" ht="79.5" hidden="false" customHeight="false" outlineLevel="0" collapsed="false">
      <c r="A92" s="6"/>
      <c r="B92" s="59" t="s">
        <v>129</v>
      </c>
      <c r="C92" s="60" t="n">
        <v>999</v>
      </c>
      <c r="D92" s="61" t="s">
        <v>125</v>
      </c>
      <c r="E92" s="53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130</v>
      </c>
      <c r="G92" s="9"/>
      <c r="H92" s="8"/>
      <c r="I92" s="9"/>
      <c r="J92" s="10" t="n">
        <f aca="false">IF(NOT(ISNUMBER(J88)),0.05,IF(J90&gt;=C42,"🚨 η&lt;0: Rds losses exceed R — device unsuitable at this operating point",C42/(C42+J90)))</f>
        <v>0.824202152023751</v>
      </c>
    </row>
    <row r="93" customFormat="false" ht="27.6" hidden="false" customHeight="false" outlineLevel="0" collapsed="false">
      <c r="A93" s="6"/>
      <c r="B93" s="7"/>
      <c r="C93" s="7"/>
      <c r="D93" s="6"/>
      <c r="E93" s="53"/>
      <c r="F93" s="8"/>
      <c r="G93" s="9"/>
      <c r="H93" s="8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ℹ t_f/T=0.000 — switching loss model valid (&lt;&lt; 1).</v>
      </c>
      <c r="I93" s="9"/>
      <c r="J93" s="10" t="n">
        <f aca="false">IF(C34&gt;0,C18*1000000*(C34/1000000000),IF(J89&gt;0,2.5*C18/J89,0))</f>
        <v>0.0583333333333333</v>
      </c>
    </row>
    <row r="94" customFormat="false" ht="15.65" hidden="false" customHeight="false" outlineLevel="0" collapsed="false">
      <c r="A94" s="6"/>
      <c r="B94" s="62" t="s">
        <v>131</v>
      </c>
      <c r="C94" s="7"/>
      <c r="D94" s="6"/>
      <c r="E94" s="53"/>
      <c r="F94" s="9"/>
      <c r="G94" s="9"/>
      <c r="H94" s="8"/>
      <c r="I94" s="9"/>
      <c r="J94" s="10" t="n">
        <f aca="false">0.5*(C32*0.000000000001*C36)*(3.562*(C16-C35-C20)+C20)^2*(C18*1000000)*$I$36</f>
        <v>0.002398002516</v>
      </c>
    </row>
    <row r="95" customFormat="false" ht="15" hidden="false" customHeight="false" outlineLevel="0" collapsed="false">
      <c r="A95" s="6"/>
      <c r="B95" s="63" t="s">
        <v>8</v>
      </c>
      <c r="C95" s="64" t="s">
        <v>9</v>
      </c>
      <c r="D95" s="65" t="s">
        <v>10</v>
      </c>
      <c r="E95" s="66" t="s">
        <v>59</v>
      </c>
      <c r="F95" s="67" t="s">
        <v>47</v>
      </c>
      <c r="G95" s="41"/>
      <c r="H95" s="40"/>
      <c r="I95" s="41"/>
      <c r="J95" s="10" t="n">
        <f aca="false">IF(ISNUMBER(J92),MAX(MIN(J92*(1-(2*PI()*(1+0.82/C19)*J93)^2/12)-J94*J92/MAX(C17,0.001)-C23*C43/MAX(C16-C35,0.001),0.99),0.01),J92)</f>
        <v>0.804771723282204</v>
      </c>
    </row>
    <row r="96" customFormat="false" ht="92.9" hidden="false" customHeight="false" outlineLevel="0" collapsed="false">
      <c r="A96" s="6"/>
      <c r="B96" s="59" t="s">
        <v>132</v>
      </c>
      <c r="C96" s="68" t="n">
        <f aca="false">1.4*C18</f>
        <v>9.8</v>
      </c>
      <c r="D96" s="61" t="s">
        <v>16</v>
      </c>
      <c r="E96" s="53"/>
      <c r="F96" s="8" t="s">
        <v>133</v>
      </c>
      <c r="G96" s="9"/>
      <c r="H96" s="8"/>
      <c r="I96" s="9"/>
      <c r="J96" s="10" t="n">
        <f aca="false">IF(ISNUMBER(C88),C17/C88,0)</f>
        <v>0.497035356024474</v>
      </c>
    </row>
    <row r="97" customFormat="false" ht="15" hidden="false" customHeight="false" outlineLevel="0" collapsed="false">
      <c r="A97" s="6"/>
      <c r="B97" s="59" t="s">
        <v>134</v>
      </c>
      <c r="C97" s="68" t="n">
        <f aca="false">2*PI()*C96*1000000</f>
        <v>61575216.0103599</v>
      </c>
      <c r="D97" s="61" t="s">
        <v>49</v>
      </c>
      <c r="E97" s="53"/>
      <c r="F97" s="8"/>
      <c r="G97" s="9"/>
      <c r="H97" s="8"/>
      <c r="I97" s="9"/>
      <c r="J97" s="10" t="n">
        <f aca="false">IF(ISNUMBER(C19),IF(C19&gt;0,((2*PI()*(1+0.82/C19)*J93)^2/12)*J96,0),0)</f>
        <v>0.00753885381579528</v>
      </c>
    </row>
    <row r="98" customFormat="false" ht="105.95" hidden="false" customHeight="false" outlineLevel="0" collapsed="false">
      <c r="A98" s="6"/>
      <c r="B98" s="59" t="s">
        <v>135</v>
      </c>
      <c r="C98" s="68" t="n">
        <f aca="false">C25</f>
        <v>50</v>
      </c>
      <c r="D98" s="61" t="s">
        <v>22</v>
      </c>
      <c r="E98" s="53"/>
      <c r="F98" s="8" t="s">
        <v>136</v>
      </c>
      <c r="G98" s="9"/>
      <c r="H98" s="8" t="str">
        <f aca="false">IF(ISNUMBER(J98),IF(J98&gt;C89,"🚨 THERMAL WARN: MOSFET-only loss model (J98="&amp;TEXT(J98,"0.000")&amp;"W) &gt; total circuit P_diss (C89="&amp;TEXT(C89,"0.000")&amp;"W). Cause: user η_input (C21) is higher than analytical η (C88) — system is not yet converged. Press F9 until C88 stabilises. θ_JA (C90) is computed on capped value (C89) — θ_JA may be optimistic. Do NOT specify heatsink until convergence.","✅ J98≤C89: MOSFET thermal model self-consistent."),"—")</f>
        <v>🚨 THERMAL WARN: MOSFET-only loss model (J98=0.000W) &gt; total circuit P_diss (C89=0.000W). Cause: user η_input (C21) is higher than analytical η (C88) — system is not yet converged. Press F9 until C88 stabilises. θ_JA (C90) is computed on capped value (C89) — θ_JA may be optimistic. Do NOT specify heatsink until convergence.</v>
      </c>
      <c r="I98" s="9"/>
      <c r="J98" s="10" t="n">
        <f aca="false">IF(ISNUMBER(J88),IF(ISNUMBER(C88),C17/C88,C17/C21)*1.365*J88/C42+J97+J94,J97+J94)</f>
        <v>0.114995635768208</v>
      </c>
    </row>
    <row r="99" customFormat="false" ht="132" hidden="false" customHeight="false" outlineLevel="0" collapsed="false">
      <c r="A99" s="6"/>
      <c r="B99" s="59" t="s">
        <v>137</v>
      </c>
      <c r="C99" s="68" t="n">
        <f aca="false">IFERROR(1.1468*C98/C97,0)</f>
        <v>9.31218820090743E-007</v>
      </c>
      <c r="D99" s="61" t="s">
        <v>66</v>
      </c>
      <c r="E99" s="53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17 dBc; worst-case: 02 dBc) — add filter poles or reduce fc. Verify with spectrum analyser.</v>
      </c>
      <c r="F99" s="8" t="s">
        <v>138</v>
      </c>
      <c r="G99" s="9"/>
      <c r="H99" s="8"/>
      <c r="I99" s="9"/>
      <c r="J99" s="10" t="n">
        <f aca="false">C29+J98*C92</f>
        <v>139.88064013244</v>
      </c>
    </row>
    <row r="100" customFormat="false" ht="15" hidden="false" customHeight="false" outlineLevel="0" collapsed="false">
      <c r="A100" s="6"/>
      <c r="B100" s="59" t="s">
        <v>139</v>
      </c>
      <c r="C100" s="68" t="n">
        <f aca="false">C99*1000000</f>
        <v>0.931218820090743</v>
      </c>
      <c r="D100" s="61" t="s">
        <v>69</v>
      </c>
      <c r="E100" s="53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</v>
      </c>
    </row>
    <row r="101" customFormat="false" ht="15" hidden="false" customHeight="false" outlineLevel="0" collapsed="false">
      <c r="A101" s="6"/>
      <c r="B101" s="59" t="s">
        <v>140</v>
      </c>
      <c r="C101" s="68" t="n">
        <f aca="false">1.3712/(C98*C97)</f>
        <v>4.45373995852259E-010</v>
      </c>
      <c r="D101" s="61" t="s">
        <v>61</v>
      </c>
      <c r="E101" s="53"/>
      <c r="F101" s="8" t="s">
        <v>141</v>
      </c>
      <c r="G101" s="9"/>
      <c r="H101" s="8"/>
      <c r="I101" s="9"/>
      <c r="J101" s="10" t="n">
        <f aca="false">IF(ISNUMBER(J88),J88*((J99+273)/298)^J100,0)</f>
        <v>9.5981275053023</v>
      </c>
    </row>
    <row r="102" customFormat="false" ht="15" hidden="false" customHeight="false" outlineLevel="0" collapsed="false">
      <c r="A102" s="6"/>
      <c r="B102" s="59" t="s">
        <v>142</v>
      </c>
      <c r="C102" s="68" t="n">
        <f aca="false">C101*1000000000000</f>
        <v>445.373995852259</v>
      </c>
      <c r="D102" s="61" t="s">
        <v>30</v>
      </c>
      <c r="E102" s="53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MAX(MIN(C42/(C42+C22+C30+1.365*J101+0.2116*C31),0.99),0.01)</f>
        <v>0.710390446798313</v>
      </c>
    </row>
    <row r="103" customFormat="false" ht="27.6" hidden="false" customHeight="false" outlineLevel="0" collapsed="false">
      <c r="A103" s="6"/>
      <c r="B103" s="59" t="s">
        <v>143</v>
      </c>
      <c r="C103" s="68" t="n">
        <f aca="false">IFERROR(1.975*C98/C97,0)</f>
        <v>1.60372965615558E-006</v>
      </c>
      <c r="D103" s="61" t="s">
        <v>66</v>
      </c>
      <c r="E103" s="53"/>
      <c r="F103" s="8" t="s">
        <v>144</v>
      </c>
      <c r="G103" s="9"/>
      <c r="H103" s="8"/>
      <c r="I103" s="9"/>
      <c r="J103" s="10" t="n">
        <f aca="false">MAX(MIN(J102*(1-(2*PI()*(1+0.82/C19)*J93)^2/12)-J94*J102/MAX(C17,0.001)-C23*C43/MAX(C16-C35,0.001),0.99),0.01)</f>
        <v>0.693368562951444</v>
      </c>
    </row>
    <row r="104" customFormat="false" ht="15" hidden="false" customHeight="false" outlineLevel="0" collapsed="false">
      <c r="A104" s="6"/>
      <c r="B104" s="59" t="s">
        <v>145</v>
      </c>
      <c r="C104" s="68" t="n">
        <f aca="false">C103*1000000</f>
        <v>1.60372965615558</v>
      </c>
      <c r="D104" s="61" t="s">
        <v>69</v>
      </c>
      <c r="E104" s="53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02 µH</v>
      </c>
      <c r="F104" s="8"/>
      <c r="G104" s="9"/>
      <c r="H104" s="8"/>
      <c r="I104" s="9"/>
      <c r="J104" s="10" t="n">
        <f aca="false">J99</f>
        <v>139.88064013244</v>
      </c>
    </row>
    <row r="105" customFormat="false" ht="27.6" hidden="false" customHeight="false" outlineLevel="0" collapsed="false">
      <c r="A105" s="6"/>
      <c r="B105" s="69" t="s">
        <v>146</v>
      </c>
      <c r="C105" s="70" t="n">
        <f aca="false">1.3712/(C98*C97)</f>
        <v>4.45373995852259E-010</v>
      </c>
      <c r="D105" s="6" t="s">
        <v>61</v>
      </c>
      <c r="E105" s="53"/>
      <c r="F105" s="8" t="s">
        <v>147</v>
      </c>
      <c r="G105" s="9"/>
      <c r="H105" s="9"/>
      <c r="I105" s="9"/>
      <c r="J105" s="10"/>
    </row>
    <row r="106" customFormat="false" ht="15" hidden="false" customHeight="false" outlineLevel="0" collapsed="false">
      <c r="A106" s="6"/>
      <c r="B106" s="69" t="s">
        <v>148</v>
      </c>
      <c r="C106" s="70" t="n">
        <f aca="false">C105*1000000000000</f>
        <v>445.373995852259</v>
      </c>
      <c r="D106" s="6" t="s">
        <v>30</v>
      </c>
      <c r="E106" s="53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92.9" hidden="false" customHeight="false" outlineLevel="0" collapsed="false">
      <c r="A107" s="6"/>
      <c r="B107" s="69" t="s">
        <v>149</v>
      </c>
      <c r="C107" s="70" t="n">
        <f aca="false">IFERROR(1.1468*C98/C97,0)</f>
        <v>9.31218820090743E-007</v>
      </c>
      <c r="D107" s="6" t="s">
        <v>66</v>
      </c>
      <c r="E107" s="53"/>
      <c r="F107" s="8" t="s">
        <v>150</v>
      </c>
      <c r="G107" s="9"/>
      <c r="H107" s="9"/>
      <c r="I107" s="9"/>
      <c r="J107" s="10"/>
    </row>
    <row r="108" customFormat="false" ht="15" hidden="false" customHeight="false" outlineLevel="0" collapsed="false">
      <c r="A108" s="6"/>
      <c r="B108" s="69" t="s">
        <v>151</v>
      </c>
      <c r="C108" s="70" t="n">
        <f aca="false">C107*1000000</f>
        <v>0.931218820090743</v>
      </c>
      <c r="D108" s="6" t="s">
        <v>69</v>
      </c>
      <c r="E108" s="53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01 µH</v>
      </c>
      <c r="F108" s="8"/>
      <c r="G108" s="9"/>
      <c r="H108" s="9"/>
      <c r="I108" s="9"/>
      <c r="J108" s="10"/>
    </row>
    <row r="109" customFormat="false" ht="66.75" hidden="false" customHeight="false" outlineLevel="0" collapsed="false">
      <c r="A109" s="6"/>
      <c r="B109" s="59" t="s">
        <v>152</v>
      </c>
      <c r="C109" s="68" t="n">
        <f aca="false">-10*LOG10((1+(10^(0.1/10)-1)*(16*(2*C18/C96)^5-20*(2*C18/C96)^3+5*(2*C18/C96))^2)/(1+(10^(0.1/10)-1)*(16*(C18/C96)^5-20*(C18/C96)^3+5*(C18/C96))^2))</f>
        <v>-16.5874077706108</v>
      </c>
      <c r="D109" s="61" t="s">
        <v>153</v>
      </c>
      <c r="E109" s="53" t="str">
        <f aca="false">IF(-10*LOG10((1+(10^(0.1/10)-1)*(4*(2*C18/C96)^3-3*(2*C18/C96))^2)/(1+(10^(0.1/10)-1)*(4*(C18/C96)^3-3*(C18/C96))^2))&lt;=-50,"3 poles min for −50 dBc at 2f",IF(-10*LOG10((1+(10^(0.1/10)-1)*(8*(2*C18/C96)^4-8*(2*C18/C96)^2+1)^2)/(1+(10^(0.1/10)-1)*(8*(C18/C96)^4-8*(C18/C96)^2+1)^2))&lt;=-50,"4 poles min for −50 dBc at 2f",IF(-10*LOG10((1+(10^(0.1/10)-1)*(16*(2*C18/C96)^5-20*(2*C18/C96)^3+5*(2*C18/C96))^2)/(1+(10^(0.1/10)-1)*(16*(C18/C96)^5-20*(C18/C96)^3+5*(C18/C96))^2))&lt;=-50,"5 poles min for −50 dBc at 2f",IF(-10*LOG10((1+(10^(0.1/10)-1)*(32*(2*C18/C96)^6-48*(2*C18/C96)^4+18*(2*C18/C96)^2-1)^2)/(1+(10^(0.1/10)-1)*(32*(C18/C96)^6-48*(C18/C96)^4+18*(C18/C96)^2-1)^2))&lt;=-50,"6 poles min for −50 dBc at 2f",IF(-10*LOG10((1+(10^(0.1/10)-1)*(64*(2*C18/C96)^7-112*(2*C18/C96)^5+56*(2*C18/C96)^3-7*(2*C18/C96))^2)/(1+(10^(0.1/10)-1)*(64*(C18/C96)^7-112*(C18/C96)^5+56*(C18/C96)^3-7*(C18/C96))^2))&lt;=-50,"7 poles min for −50 dBc at 2f",IF(-10*LOG10((1+(10^(0.1/10)-1)*(128*(2*C18/C96)^8-256*(2*C18/C96)^6+160*(2*C18/C96)^4-32*(2*C18/C96)^2+1)^2)/(1+(10^(0.1/10)-1)*(128*(C18/C96)^8-256*(C18/C96)^6+160*(C18/C96)^4-32*(C18/C96)^2+1)^2))&lt;=-50,"8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17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-02 dBc. 🚨 Worst-case may not meet −50 dBc IARU. Verify with spectrum analyser before regulatory submission.</v>
      </c>
      <c r="I109" s="9"/>
      <c r="J109" s="10"/>
    </row>
    <row r="110" customFormat="false" ht="40.5" hidden="false" customHeight="false" outlineLevel="0" collapsed="false">
      <c r="A110" s="6"/>
      <c r="B110" s="59" t="s">
        <v>154</v>
      </c>
      <c r="C110" s="68" t="n">
        <f aca="false">-10*LOG10((1+(10^(0.1/10)-1)*(16*(3*C18/C96)^5-20*(3*C18/C96)^3+5*(3*C18/C96))^2)/(1+(10^(0.1/10)-1)*(16*(C18/C96)^5-20*(C18/C96)^3+5*(C18/C96))^2))</f>
        <v>-38.2143276045362</v>
      </c>
      <c r="D110" s="61" t="s">
        <v>153</v>
      </c>
      <c r="E110" s="53" t="str">
        <f aca="false">IF(-10*LOG10((1+(10^(0.1/10)-1)*(4*(3*C18/C96)^3-3*(3*C18/C96))^2)/(1+(10^(0.1/10)-1)*(4*(C18/C96)^3-3*(C18/C96))^2))&lt;=-50,"3 poles min for −50 dBc at 3f",IF(-10*LOG10((1+(10^(0.1/10)-1)*(8*(3*C18/C96)^4-8*(3*C18/C96)^2+1)^2)/(1+(10^(0.1/10)-1)*(8*(C18/C96)^4-8*(C18/C96)^2+1)^2))&lt;=-50,"4 poles min for −50 dBc at 3f",IF(-10*LOG10((1+(10^(0.1/10)-1)*(16*(3*C18/C96)^5-20*(3*C18/C96)^3+5*(3*C18/C96))^2)/(1+(10^(0.1/10)-1)*(16*(C18/C96)^5-20*(C18/C96)^3+5*(C18/C96))^2))&lt;=-50,"5 poles min for −50 dBc at 3f",IF(-10*LOG10((1+(10^(0.1/10)-1)*(32*(3*C18/C96)^6-48*(3*C18/C96)^4+18*(3*C18/C96)^2-1)^2)/(1+(10^(0.1/10)-1)*(32*(C18/C96)^6-48*(C18/C96)^4+18*(C18/C96)^2-1)^2))&lt;=-50,"6 poles min for −50 dBc at 3f",IF(-10*LOG10((1+(10^(0.1/10)-1)*(64*(3*C18/C96)^7-112*(3*C18/C96)^5+56*(3*C18/C96)^3-7*(3*C18/C96))^2)/(1+(10^(0.1/10)-1)*(64*(C18/C96)^7-112*(C18/C96)^5+56*(C18/C96)^3-7*(C18/C96))^2))&lt;=-50,"7 poles min for −50 dBc at 3f",IF(-10*LOG10((1+(10^(0.1/10)-1)*(128*(3*C18/C96)^8-256*(3*C18/C96)^6+160*(3*C18/C96)^4-32*(3*C18/C96)^2+1)^2)/(1+(10^(0.1/10)-1)*(128*(C18/C96)^8-256*(C18/C96)^6+160*(C18/C96)^4-32*(C18/C96)^2+1)^2))&lt;=-50,"8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79.5" hidden="false" customHeight="false" outlineLevel="0" collapsed="false">
      <c r="A111" s="6"/>
      <c r="B111" s="59" t="s">
        <v>155</v>
      </c>
      <c r="C111" s="68"/>
      <c r="D111" s="61"/>
      <c r="E111" s="53"/>
      <c r="F111" s="8" t="str">
        <f aca="false">IF(C65&lt;0.01,"🚨 LPF SOURCE MISMATCH: R_drain ≈ Z_load (no L-network) — LPF source ≈ "&amp;TEXT(C42,"0.0")&amp;" Ω ≠ 50 Ω. LPF attenuation values INVALID. Insert L-network before LPF.","✅ L-network active (Q_match="&amp;TEXT(C65,"0.00")&amp;"×)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(Q_match=0,74×)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fals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false" outlineLevel="0" collapsed="false">
      <c r="A113" s="6"/>
      <c r="B113" s="71" t="s">
        <v>156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false" outlineLevel="0" collapsed="false">
      <c r="A114" s="6"/>
      <c r="B114" s="31" t="s">
        <v>157</v>
      </c>
      <c r="C114" s="57"/>
      <c r="D114" s="45"/>
      <c r="E114" s="57"/>
      <c r="F114" s="45"/>
      <c r="G114" s="45"/>
      <c r="H114" s="8"/>
      <c r="I114" s="9"/>
      <c r="J114" s="10"/>
    </row>
    <row r="115" customFormat="false" ht="15" hidden="false" customHeight="false" outlineLevel="0" collapsed="false">
      <c r="A115" s="6"/>
      <c r="B115" s="31" t="s">
        <v>158</v>
      </c>
      <c r="C115" s="57"/>
      <c r="D115" s="45"/>
      <c r="E115" s="57"/>
      <c r="F115" s="45"/>
      <c r="G115" s="45"/>
      <c r="H115" s="8"/>
      <c r="I115" s="9"/>
      <c r="J115" s="10"/>
    </row>
    <row r="116" customFormat="false" ht="15" hidden="false" customHeight="false" outlineLevel="0" collapsed="false">
      <c r="A116" s="6"/>
      <c r="B116" s="31" t="s">
        <v>159</v>
      </c>
      <c r="C116" s="57"/>
      <c r="D116" s="45"/>
      <c r="E116" s="57"/>
      <c r="F116" s="45"/>
      <c r="G116" s="45"/>
      <c r="H116" s="8"/>
      <c r="I116" s="9"/>
      <c r="J116" s="10"/>
    </row>
    <row r="117" customFormat="false" ht="15" hidden="false" customHeight="false" outlineLevel="0" collapsed="false">
      <c r="A117" s="6"/>
      <c r="B117" s="31" t="s">
        <v>160</v>
      </c>
      <c r="C117" s="57"/>
      <c r="D117" s="45"/>
      <c r="E117" s="57"/>
      <c r="F117" s="45"/>
      <c r="G117" s="45"/>
      <c r="H117" s="8"/>
      <c r="I117" s="9"/>
      <c r="J117" s="10"/>
    </row>
    <row r="118" customFormat="false" ht="15" hidden="false" customHeight="false" outlineLevel="0" collapsed="false">
      <c r="A118" s="6"/>
      <c r="B118" s="31" t="s">
        <v>161</v>
      </c>
      <c r="C118" s="57"/>
      <c r="D118" s="45"/>
      <c r="E118" s="57"/>
      <c r="F118" s="45"/>
      <c r="G118" s="45"/>
      <c r="H118" s="8"/>
      <c r="I118" s="9"/>
      <c r="J118" s="10"/>
    </row>
    <row r="119" customFormat="false" ht="15" hidden="false" customHeight="false" outlineLevel="0" collapsed="false">
      <c r="A119" s="6"/>
      <c r="B119" s="31" t="s">
        <v>162</v>
      </c>
      <c r="C119" s="57"/>
      <c r="D119" s="45"/>
      <c r="E119" s="57"/>
      <c r="F119" s="45"/>
      <c r="G119" s="45"/>
      <c r="H119" s="8"/>
      <c r="I119" s="9"/>
      <c r="J119" s="10"/>
    </row>
    <row r="120" customFormat="false" ht="15" hidden="false" customHeight="false" outlineLevel="0" collapsed="false">
      <c r="A120" s="6"/>
      <c r="B120" s="31" t="s">
        <v>163</v>
      </c>
      <c r="C120" s="57"/>
      <c r="D120" s="45"/>
      <c r="E120" s="57"/>
      <c r="F120" s="45"/>
      <c r="G120" s="45"/>
      <c r="H120" s="8"/>
      <c r="I120" s="9"/>
      <c r="J120" s="10"/>
    </row>
    <row r="121" customFormat="false" ht="15" hidden="false" customHeight="false" outlineLevel="0" collapsed="false">
      <c r="A121" s="6"/>
      <c r="B121" s="31" t="s">
        <v>164</v>
      </c>
      <c r="C121" s="57"/>
      <c r="D121" s="45"/>
      <c r="E121" s="57"/>
      <c r="F121" s="45"/>
      <c r="G121" s="45"/>
      <c r="H121" s="8"/>
      <c r="I121" s="9"/>
      <c r="J121" s="10"/>
    </row>
    <row r="122" customFormat="false" ht="15" hidden="false" customHeight="false" outlineLevel="0" collapsed="false">
      <c r="A122" s="6"/>
      <c r="B122" s="31" t="s">
        <v>165</v>
      </c>
      <c r="C122" s="57"/>
      <c r="D122" s="45"/>
      <c r="E122" s="57"/>
      <c r="F122" s="45"/>
      <c r="G122" s="45"/>
      <c r="H122" s="8"/>
      <c r="I122" s="9"/>
      <c r="J122" s="10"/>
    </row>
    <row r="123" customFormat="false" ht="15" hidden="false" customHeight="false" outlineLevel="0" collapsed="false">
      <c r="A123" s="6"/>
      <c r="B123" s="31" t="s">
        <v>166</v>
      </c>
      <c r="C123" s="57"/>
      <c r="D123" s="45"/>
      <c r="E123" s="57"/>
      <c r="F123" s="45"/>
      <c r="G123" s="45"/>
      <c r="H123" s="8"/>
      <c r="I123" s="9"/>
      <c r="J123" s="10"/>
    </row>
    <row r="124" customFormat="false" ht="15" hidden="false" customHeight="false" outlineLevel="0" collapsed="false">
      <c r="A124" s="6"/>
      <c r="B124" s="31" t="s">
        <v>167</v>
      </c>
      <c r="C124" s="57"/>
      <c r="D124" s="45"/>
      <c r="E124" s="57"/>
      <c r="F124" s="45"/>
      <c r="G124" s="45"/>
      <c r="H124" s="8"/>
      <c r="I124" s="9"/>
      <c r="J124" s="10"/>
    </row>
    <row r="125" customFormat="false" ht="15" hidden="false" customHeight="false" outlineLevel="0" collapsed="false">
      <c r="A125" s="6"/>
      <c r="B125" s="31" t="s">
        <v>168</v>
      </c>
      <c r="C125" s="57"/>
      <c r="D125" s="45"/>
      <c r="E125" s="57"/>
      <c r="F125" s="45"/>
      <c r="G125" s="45"/>
      <c r="H125" s="8"/>
      <c r="I125" s="9"/>
      <c r="J125" s="10"/>
    </row>
    <row r="126" customFormat="false" ht="15" hidden="false" customHeight="false" outlineLevel="0" collapsed="false">
      <c r="A126" s="6"/>
      <c r="B126" s="6"/>
      <c r="C126" s="7"/>
      <c r="D126" s="6"/>
      <c r="E126" s="8"/>
      <c r="F126" s="9"/>
      <c r="G126" s="9"/>
      <c r="H126" s="8"/>
      <c r="I126" s="9"/>
      <c r="J126" s="10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14" activeCellId="0" sqref="E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2" width="2.55"/>
    <col collapsed="false" customWidth="true" hidden="false" outlineLevel="0" max="2" min="2" style="72" width="81.39"/>
    <col collapsed="false" customWidth="true" hidden="false" outlineLevel="0" max="3" min="3" style="72" width="16.01"/>
    <col collapsed="false" customWidth="true" hidden="false" outlineLevel="0" max="4" min="4" style="73" width="6.39"/>
    <col collapsed="false" customWidth="true" hidden="false" outlineLevel="0" max="5" min="5" style="72" width="11.53"/>
    <col collapsed="false" customWidth="true" hidden="false" outlineLevel="0" max="6" min="6" style="72" width="26.23"/>
    <col collapsed="false" customWidth="true" hidden="false" outlineLevel="0" max="7" min="7" style="72" width="9.57"/>
    <col collapsed="false" customWidth="true" hidden="false" outlineLevel="0" max="8" min="8" style="72" width="25.32"/>
    <col collapsed="false" customWidth="true" hidden="false" outlineLevel="0" max="9" min="9" style="72" width="2.55"/>
    <col collapsed="false" customWidth="false" hidden="false" outlineLevel="0" max="16382" min="12" style="72" width="8.68"/>
    <col collapsed="false" customWidth="true" hidden="false" outlineLevel="0" max="16384" min="16383" style="72" width="11.53"/>
  </cols>
  <sheetData>
    <row r="1" customFormat="false" ht="15" hidden="false" customHeight="false" outlineLevel="0" collapsed="false">
      <c r="A1" s="27"/>
      <c r="B1" s="27"/>
      <c r="C1" s="27"/>
      <c r="D1" s="74"/>
      <c r="E1" s="27"/>
      <c r="F1" s="27"/>
      <c r="G1" s="27"/>
      <c r="H1" s="27"/>
      <c r="I1" s="27"/>
    </row>
    <row r="2" customFormat="false" ht="15.65" hidden="false" customHeight="false" outlineLevel="0" collapsed="false">
      <c r="A2" s="27"/>
      <c r="B2" s="49" t="s">
        <v>169</v>
      </c>
      <c r="C2" s="27"/>
      <c r="D2" s="74"/>
      <c r="E2" s="27"/>
      <c r="F2" s="27"/>
      <c r="G2" s="27"/>
      <c r="H2" s="27"/>
      <c r="I2" s="27"/>
    </row>
    <row r="3" customFormat="false" ht="15" hidden="false" customHeight="false" outlineLevel="0" collapsed="false">
      <c r="A3" s="27"/>
      <c r="B3" s="49"/>
      <c r="C3" s="27"/>
      <c r="D3" s="74"/>
      <c r="E3" s="27"/>
      <c r="F3" s="27"/>
      <c r="G3" s="27"/>
      <c r="H3" s="27"/>
      <c r="I3" s="27"/>
    </row>
    <row r="4" customFormat="false" ht="23.1" hidden="false" customHeight="false" outlineLevel="0" collapsed="false">
      <c r="A4" s="27"/>
      <c r="B4" s="75" t="s">
        <v>170</v>
      </c>
      <c r="C4" s="27"/>
      <c r="D4" s="74"/>
      <c r="E4" s="27"/>
      <c r="F4" s="27"/>
      <c r="G4" s="27"/>
      <c r="H4" s="27"/>
      <c r="I4" s="27"/>
    </row>
    <row r="5" customFormat="false" ht="15" hidden="false" customHeight="false" outlineLevel="0" collapsed="false">
      <c r="A5" s="27"/>
      <c r="B5" s="15" t="s">
        <v>2</v>
      </c>
      <c r="C5" s="27"/>
      <c r="D5" s="74"/>
      <c r="E5" s="27"/>
      <c r="F5" s="27"/>
      <c r="G5" s="27"/>
      <c r="H5" s="27"/>
      <c r="I5" s="27"/>
    </row>
    <row r="6" customFormat="false" ht="15" hidden="false" customHeight="false" outlineLevel="0" collapsed="false">
      <c r="A6" s="27"/>
      <c r="B6" s="27"/>
      <c r="C6" s="27"/>
      <c r="D6" s="74"/>
      <c r="E6" s="27"/>
      <c r="F6" s="27"/>
      <c r="G6" s="27"/>
      <c r="H6" s="27"/>
      <c r="I6" s="27"/>
    </row>
    <row r="7" customFormat="false" ht="87.65" hidden="false" customHeight="false" outlineLevel="0" collapsed="false">
      <c r="A7" s="27"/>
      <c r="B7" s="50" t="s">
        <v>171</v>
      </c>
      <c r="C7" s="27"/>
      <c r="D7" s="74"/>
      <c r="E7" s="27"/>
      <c r="F7" s="27"/>
      <c r="G7" s="27"/>
      <c r="H7" s="27"/>
      <c r="I7" s="27"/>
    </row>
    <row r="8" customFormat="false" ht="15" hidden="false" customHeight="false" outlineLevel="0" collapsed="false">
      <c r="A8" s="27"/>
      <c r="B8" s="27"/>
      <c r="C8" s="27"/>
      <c r="D8" s="74"/>
      <c r="E8" s="27"/>
      <c r="F8" s="27"/>
      <c r="G8" s="27"/>
      <c r="H8" s="27"/>
      <c r="I8" s="27"/>
    </row>
    <row r="9" customFormat="false" ht="15.65" hidden="false" customHeight="false" outlineLevel="0" collapsed="false">
      <c r="A9" s="27"/>
      <c r="B9" s="76" t="s">
        <v>172</v>
      </c>
      <c r="C9" s="27"/>
      <c r="D9" s="74"/>
      <c r="E9" s="27"/>
      <c r="F9" s="27"/>
      <c r="G9" s="27"/>
      <c r="H9" s="27"/>
      <c r="I9" s="27"/>
    </row>
    <row r="10" customFormat="false" ht="15" hidden="false" customHeight="false" outlineLevel="0" collapsed="false">
      <c r="A10" s="27"/>
      <c r="B10" s="77" t="s">
        <v>8</v>
      </c>
      <c r="C10" s="78" t="s">
        <v>9</v>
      </c>
      <c r="D10" s="79" t="s">
        <v>10</v>
      </c>
      <c r="E10" s="80"/>
      <c r="F10" s="79" t="s">
        <v>47</v>
      </c>
      <c r="G10" s="80"/>
      <c r="H10" s="80"/>
      <c r="I10" s="27"/>
    </row>
    <row r="11" customFormat="false" ht="27.6" hidden="false" customHeight="false" outlineLevel="0" collapsed="false">
      <c r="A11" s="27"/>
      <c r="B11" s="47" t="s">
        <v>173</v>
      </c>
      <c r="C11" s="48" t="n">
        <f aca="false">'Class-E Calculator'!C18</f>
        <v>7</v>
      </c>
      <c r="D11" s="33" t="s">
        <v>16</v>
      </c>
      <c r="E11" s="27"/>
      <c r="F11" s="81" t="s">
        <v>174</v>
      </c>
      <c r="G11" s="27"/>
      <c r="H11" s="27"/>
      <c r="I11" s="27"/>
    </row>
    <row r="12" customFormat="false" ht="92.9" hidden="false" customHeight="false" outlineLevel="0" collapsed="false">
      <c r="A12" s="27"/>
      <c r="B12" s="47" t="s">
        <v>175</v>
      </c>
      <c r="C12" s="48" t="n">
        <f aca="false">'Class-E Calculator'!C42</f>
        <v>32.289222500631</v>
      </c>
      <c r="D12" s="33" t="s">
        <v>22</v>
      </c>
      <c r="E12" s="27"/>
      <c r="F12" s="81" t="s">
        <v>176</v>
      </c>
      <c r="G12" s="27"/>
      <c r="H12" s="27"/>
      <c r="I12" s="27"/>
    </row>
    <row r="13" customFormat="false" ht="27.6" hidden="false" customHeight="false" outlineLevel="0" collapsed="false">
      <c r="A13" s="27"/>
      <c r="B13" s="47" t="s">
        <v>177</v>
      </c>
      <c r="C13" s="48" t="n">
        <f aca="false">'Class-E Calculator'!C25</f>
        <v>50</v>
      </c>
      <c r="D13" s="33" t="s">
        <v>22</v>
      </c>
      <c r="E13" s="27"/>
      <c r="F13" s="81" t="s">
        <v>178</v>
      </c>
      <c r="G13" s="27"/>
      <c r="H13" s="27"/>
      <c r="I13" s="27"/>
    </row>
    <row r="14" customFormat="false" ht="27.6" hidden="false" customHeight="false" outlineLevel="0" collapsed="false">
      <c r="A14" s="27"/>
      <c r="B14" s="47" t="s">
        <v>179</v>
      </c>
      <c r="C14" s="48" t="n">
        <f aca="false">'Class-E Calculator'!C16</f>
        <v>5</v>
      </c>
      <c r="D14" s="33" t="s">
        <v>12</v>
      </c>
      <c r="E14" s="27"/>
      <c r="F14" s="81" t="s">
        <v>180</v>
      </c>
      <c r="G14" s="27"/>
      <c r="H14" s="27"/>
      <c r="I14" s="27"/>
    </row>
    <row r="15" customFormat="false" ht="27.6" hidden="false" customHeight="false" outlineLevel="0" collapsed="false">
      <c r="A15" s="27"/>
      <c r="B15" s="47" t="s">
        <v>181</v>
      </c>
      <c r="C15" s="48" t="n">
        <f aca="false">'Class-E Calculator'!C17</f>
        <v>0.4</v>
      </c>
      <c r="D15" s="33" t="s">
        <v>14</v>
      </c>
      <c r="E15" s="27"/>
      <c r="F15" s="81" t="s">
        <v>182</v>
      </c>
      <c r="G15" s="27"/>
      <c r="H15" s="27"/>
      <c r="I15" s="27"/>
    </row>
    <row r="16" customFormat="false" ht="15" hidden="false" customHeight="false" outlineLevel="0" collapsed="false">
      <c r="A16" s="27"/>
      <c r="B16" s="82"/>
      <c r="C16" s="83"/>
      <c r="D16" s="74"/>
      <c r="E16" s="27"/>
      <c r="F16" s="27"/>
      <c r="G16" s="27"/>
      <c r="H16" s="27"/>
      <c r="I16" s="27"/>
    </row>
    <row r="17" customFormat="false" ht="23.1" hidden="false" customHeight="false" outlineLevel="0" collapsed="false">
      <c r="A17" s="27"/>
      <c r="B17" s="49" t="s">
        <v>46</v>
      </c>
      <c r="C17" s="83"/>
      <c r="D17" s="74"/>
      <c r="E17" s="27"/>
      <c r="F17" s="75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n=02 — Valid range, verify with LTspice.</v>
      </c>
      <c r="G17" s="27"/>
      <c r="H17" s="27"/>
      <c r="I17" s="27"/>
    </row>
    <row r="18" customFormat="false" ht="15" hidden="false" customHeight="false" outlineLevel="0" collapsed="false">
      <c r="A18" s="27"/>
      <c r="B18" s="77" t="s">
        <v>8</v>
      </c>
      <c r="C18" s="78" t="s">
        <v>9</v>
      </c>
      <c r="D18" s="79" t="s">
        <v>10</v>
      </c>
      <c r="E18" s="79"/>
      <c r="F18" s="79" t="s">
        <v>47</v>
      </c>
      <c r="G18" s="80"/>
      <c r="H18" s="80"/>
      <c r="I18" s="27"/>
    </row>
    <row r="19" customFormat="false" ht="53.7" hidden="false" customHeight="false" outlineLevel="0" collapsed="false">
      <c r="A19" s="27"/>
      <c r="B19" s="47" t="s">
        <v>132</v>
      </c>
      <c r="C19" s="84" t="n">
        <f aca="false">1.4*C11</f>
        <v>9.8</v>
      </c>
      <c r="D19" s="33" t="s">
        <v>16</v>
      </c>
      <c r="E19" s="27"/>
      <c r="F19" s="81" t="s">
        <v>183</v>
      </c>
      <c r="G19" s="27"/>
      <c r="H19" s="27"/>
      <c r="I19" s="27"/>
    </row>
    <row r="20" customFormat="false" ht="15" hidden="false" customHeight="false" outlineLevel="0" collapsed="false">
      <c r="A20" s="27"/>
      <c r="B20" s="47" t="s">
        <v>134</v>
      </c>
      <c r="C20" s="84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</row>
    <row r="21" customFormat="false" ht="92.9" hidden="false" customHeight="false" outlineLevel="0" collapsed="false">
      <c r="A21" s="27"/>
      <c r="B21" s="47" t="s">
        <v>184</v>
      </c>
      <c r="C21" s="84" t="n">
        <f aca="false">IF(NOT(ISNUMBER(C12)),"⚠ R_opt invalid — fix QL on main sheet first",C13/C12)</f>
        <v>1.54850430353419</v>
      </c>
      <c r="D21" s="33" t="s">
        <v>18</v>
      </c>
      <c r="E21" s="27"/>
      <c r="F21" s="81" t="s">
        <v>185</v>
      </c>
      <c r="G21" s="27"/>
      <c r="H21" s="27"/>
      <c r="I21" s="27"/>
    </row>
    <row r="22" customFormat="false" ht="132" hidden="false" customHeight="false" outlineLevel="0" collapsed="false">
      <c r="A22" s="27"/>
      <c r="B22" s="47" t="s">
        <v>186</v>
      </c>
      <c r="C22" s="85" t="n">
        <f aca="false">IF(NOT(ISNUMBER(C12)),"⚠ R_opt invalid — fix QL on main sheet first",SQRT(C12*C13))</f>
        <v>40.1803574527598</v>
      </c>
      <c r="D22" s="33" t="s">
        <v>22</v>
      </c>
      <c r="E22" s="27"/>
      <c r="F22" s="81" t="s">
        <v>187</v>
      </c>
      <c r="G22" s="27"/>
      <c r="H22" s="27"/>
      <c r="I22" s="27"/>
    </row>
    <row r="23" customFormat="false" ht="53.7" hidden="false" customHeight="false" outlineLevel="0" collapsed="false">
      <c r="A23" s="27"/>
      <c r="B23" s="47" t="s">
        <v>188</v>
      </c>
      <c r="C23" s="86" t="n">
        <f aca="false">3.562*('Class-E Calculator'!C16-'Class-E Calculator'!C20)+'Class-E Calculator'!C20</f>
        <v>17.81</v>
      </c>
      <c r="D23" s="33" t="s">
        <v>12</v>
      </c>
      <c r="E23" s="27"/>
      <c r="F23" s="81" t="s">
        <v>189</v>
      </c>
      <c r="G23" s="27"/>
      <c r="H23" s="27"/>
      <c r="I23" s="27"/>
    </row>
    <row r="24" customFormat="false" ht="66.75" hidden="false" customHeight="false" outlineLevel="0" collapsed="false">
      <c r="A24" s="27"/>
      <c r="B24" s="47" t="s">
        <v>190</v>
      </c>
      <c r="C24" s="85" t="n">
        <f aca="false">SQRT(C15/C13)</f>
        <v>0.0894427190999916</v>
      </c>
      <c r="D24" s="33" t="s">
        <v>54</v>
      </c>
      <c r="E24" s="27"/>
      <c r="F24" s="81" t="s">
        <v>191</v>
      </c>
      <c r="G24" s="27"/>
      <c r="H24" s="27"/>
      <c r="I24" s="27"/>
    </row>
    <row r="25" customFormat="false" ht="15" hidden="false" customHeight="false" outlineLevel="0" collapsed="false">
      <c r="A25" s="27"/>
      <c r="B25" s="82"/>
      <c r="C25" s="83"/>
      <c r="D25" s="74"/>
      <c r="E25" s="27"/>
      <c r="F25" s="27"/>
      <c r="G25" s="27"/>
      <c r="H25" s="27"/>
      <c r="I25" s="27"/>
    </row>
    <row r="26" customFormat="false" ht="29.85" hidden="false" customHeight="false" outlineLevel="0" collapsed="false">
      <c r="A26" s="27"/>
      <c r="B26" s="49" t="s">
        <v>192</v>
      </c>
      <c r="C26" s="83"/>
      <c r="D26" s="74"/>
      <c r="E26" s="27"/>
      <c r="F26" s="19"/>
      <c r="G26" s="27"/>
      <c r="H26" s="27"/>
      <c r="I26" s="27"/>
    </row>
    <row r="27" customFormat="false" ht="15" hidden="false" customHeight="false" outlineLevel="0" collapsed="false">
      <c r="A27" s="27"/>
      <c r="B27" s="77" t="s">
        <v>8</v>
      </c>
      <c r="C27" s="78" t="s">
        <v>9</v>
      </c>
      <c r="D27" s="79" t="s">
        <v>10</v>
      </c>
      <c r="E27" s="79" t="s">
        <v>59</v>
      </c>
      <c r="F27" s="79" t="s">
        <v>47</v>
      </c>
      <c r="G27" s="80"/>
      <c r="H27" s="80"/>
      <c r="I27" s="27"/>
    </row>
    <row r="28" customFormat="false" ht="53.7" hidden="false" customHeight="false" outlineLevel="0" collapsed="false">
      <c r="A28" s="27"/>
      <c r="B28" s="47" t="s">
        <v>193</v>
      </c>
      <c r="C28" s="85" t="n">
        <f aca="false">IF(NOT(ISNUMBER(C12)),"⚠ R_opt invalid — fix QL on main sheet first",IF(ISNUMBER(C21),IF(C21&gt;3,"⚠ n&gt;3: Use L-network + 50Ω LPF",1.1468*C22/C20),"⚠ n invalid"))</f>
        <v>7.48334101159665E-007</v>
      </c>
      <c r="D28" s="33" t="s">
        <v>66</v>
      </c>
      <c r="E28" s="27"/>
      <c r="F28" s="81" t="s">
        <v>194</v>
      </c>
      <c r="G28" s="27"/>
      <c r="H28" s="27"/>
      <c r="I28" s="27"/>
    </row>
    <row r="29" customFormat="false" ht="15" hidden="false" customHeight="false" outlineLevel="0" collapsed="false">
      <c r="A29" s="27"/>
      <c r="B29" s="47" t="s">
        <v>139</v>
      </c>
      <c r="C29" s="85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01 µH</v>
      </c>
      <c r="F29" s="27"/>
      <c r="G29" s="27"/>
      <c r="H29" s="27"/>
      <c r="I29" s="27"/>
    </row>
    <row r="30" customFormat="false" ht="79.5" hidden="false" customHeight="false" outlineLevel="0" collapsed="false">
      <c r="A30" s="27"/>
      <c r="B30" s="47" t="s">
        <v>195</v>
      </c>
      <c r="C30" s="85" t="n">
        <f aca="false">IF(NOT(ISNUMBER(C12)),"⚠ R_opt invalid — fix QL on main sheet first",IF(C21&gt;3,"⚠ n&gt;3: Use L-network + 50Ω LPF",1.3712/(C12*C20)))</f>
        <v>6.8966354925944E-010</v>
      </c>
      <c r="D30" s="33" t="s">
        <v>61</v>
      </c>
      <c r="E30" s="27"/>
      <c r="F30" s="81" t="s">
        <v>196</v>
      </c>
      <c r="G30" s="27"/>
      <c r="H30" s="27"/>
      <c r="I30" s="27"/>
    </row>
    <row r="31" customFormat="false" ht="15" hidden="false" customHeight="false" outlineLevel="0" collapsed="false">
      <c r="A31" s="27"/>
      <c r="B31" s="47" t="s">
        <v>142</v>
      </c>
      <c r="C31" s="85" t="n">
        <f aca="false">IF(ISNUMBER(C30),C30*1000000000000,C30)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</row>
    <row r="32" customFormat="false" ht="53.7" hidden="false" customHeight="false" outlineLevel="0" collapsed="false">
      <c r="A32" s="27"/>
      <c r="B32" s="47" t="s">
        <v>197</v>
      </c>
      <c r="C32" s="85" t="n">
        <f aca="false">IF(NOT(ISNUMBER(C12)),"⚠ R_opt invalid — fix QL on main sheet first",IF(ISNUMBER(C21),IF(C21&gt;3,"⚠ n&gt;3: Use L-network + 50Ω LPF",1.975*C22/C20),"⚠ n invalid"))</f>
        <v>1.28876861683845E-006</v>
      </c>
      <c r="D32" s="33" t="s">
        <v>66</v>
      </c>
      <c r="E32" s="27"/>
      <c r="F32" s="81" t="s">
        <v>198</v>
      </c>
      <c r="G32" s="27"/>
      <c r="H32" s="27"/>
      <c r="I32" s="27"/>
    </row>
    <row r="33" customFormat="false" ht="15" hidden="false" customHeight="false" outlineLevel="0" collapsed="false">
      <c r="A33" s="27"/>
      <c r="B33" s="47" t="s">
        <v>145</v>
      </c>
      <c r="C33" s="85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01 µH</v>
      </c>
      <c r="F33" s="27"/>
      <c r="G33" s="27"/>
      <c r="H33" s="27"/>
      <c r="I33" s="27"/>
    </row>
    <row r="34" customFormat="false" ht="79.5" hidden="false" customHeight="false" outlineLevel="0" collapsed="false">
      <c r="A34" s="27"/>
      <c r="B34" s="47" t="s">
        <v>199</v>
      </c>
      <c r="C34" s="85" t="n">
        <f aca="false">IF(NOT(ISNUMBER(C12)),"⚠ R_opt invalid — fix QL on main sheet first",IF(NOT(ISNUMBER(C21)),"⚠ n invalid",IF(C21&gt;3,"⚠ n&gt;3: Use L-network + 50Ω LPF",1.3712/(C13*C20))))</f>
        <v>4.45373995852259E-010</v>
      </c>
      <c r="D34" s="33" t="s">
        <v>61</v>
      </c>
      <c r="E34" s="27"/>
      <c r="F34" s="81" t="s">
        <v>200</v>
      </c>
      <c r="G34" s="27"/>
      <c r="H34" s="27"/>
      <c r="I34" s="27"/>
    </row>
    <row r="35" customFormat="false" ht="15" hidden="false" customHeight="false" outlineLevel="0" collapsed="false">
      <c r="A35" s="27"/>
      <c r="B35" s="47" t="s">
        <v>148</v>
      </c>
      <c r="C35" s="85" t="n">
        <f aca="false">IF(ISNUMBER(C34),C34*1000000000000,C34)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</row>
    <row r="36" customFormat="false" ht="92.9" hidden="false" customHeight="false" outlineLevel="0" collapsed="false">
      <c r="A36" s="27"/>
      <c r="B36" s="47" t="s">
        <v>201</v>
      </c>
      <c r="C36" s="85" t="n">
        <f aca="false">IF(NOT(ISNUMBER(C12)),"⚠ R_opt invalid — fix QL on main sheet first",IF(ISNUMBER(C21),IF(C21&gt;3,"⚠ n&gt;3: Use L-network + 50Ω LPF",1.1468*C22/C20),"⚠ n invalid"))</f>
        <v>7.48334101159665E-007</v>
      </c>
      <c r="D36" s="33" t="s">
        <v>66</v>
      </c>
      <c r="E36" s="27"/>
      <c r="F36" s="81" t="s">
        <v>202</v>
      </c>
      <c r="G36" s="27"/>
      <c r="H36" s="27"/>
      <c r="I36" s="27"/>
    </row>
    <row r="37" customFormat="false" ht="15" hidden="false" customHeight="false" outlineLevel="0" collapsed="false">
      <c r="A37" s="27"/>
      <c r="B37" s="47" t="s">
        <v>151</v>
      </c>
      <c r="C37" s="85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01 µH</v>
      </c>
      <c r="F37" s="27"/>
      <c r="G37" s="27"/>
      <c r="H37" s="27"/>
      <c r="I37" s="27"/>
    </row>
    <row r="38" customFormat="false" ht="15" hidden="false" customHeight="false" outlineLevel="0" collapsed="false">
      <c r="A38" s="27"/>
      <c r="B38" s="82"/>
      <c r="C38" s="83"/>
      <c r="D38" s="74"/>
      <c r="E38" s="27"/>
      <c r="F38" s="27"/>
      <c r="G38" s="27"/>
      <c r="H38" s="27"/>
      <c r="I38" s="27"/>
    </row>
    <row r="39" customFormat="false" ht="15.65" hidden="false" customHeight="false" outlineLevel="0" collapsed="false">
      <c r="A39" s="27"/>
      <c r="B39" s="49" t="s">
        <v>110</v>
      </c>
      <c r="C39" s="83"/>
      <c r="D39" s="74"/>
      <c r="E39" s="27"/>
      <c r="F39" s="27"/>
      <c r="G39" s="27"/>
      <c r="H39" s="27"/>
      <c r="I39" s="27"/>
    </row>
    <row r="40" customFormat="false" ht="15" hidden="false" customHeight="false" outlineLevel="0" collapsed="false">
      <c r="A40" s="27"/>
      <c r="B40" s="77" t="s">
        <v>8</v>
      </c>
      <c r="C40" s="78" t="s">
        <v>9</v>
      </c>
      <c r="D40" s="79" t="s">
        <v>10</v>
      </c>
      <c r="E40" s="79"/>
      <c r="F40" s="79" t="s">
        <v>47</v>
      </c>
      <c r="G40" s="80"/>
      <c r="H40" s="80"/>
      <c r="I40" s="27"/>
    </row>
    <row r="41" customFormat="false" ht="98.85" hidden="false" customHeight="false" outlineLevel="0" collapsed="false">
      <c r="A41" s="27"/>
      <c r="B41" s="47" t="s">
        <v>203</v>
      </c>
      <c r="C41" s="85" t="n">
        <f aca="false">-10*LOG10((1+(10^(0.1/10)-1)*(16*(2*C11/C19)^5-20*(2*C11/C19)^3+5*(2*C11/C19))^2)/(1+(10^(0.1/10)-1)*(16*(C11/C19)^5-20*(C11/C19)^3+5*(C11/C19))^2))</f>
        <v>-16.5874077706108</v>
      </c>
      <c r="D41" s="33" t="s">
        <v>153</v>
      </c>
      <c r="E41" s="33" t="str">
        <f aca="false">IF(C41&lt;-50,"✅ Meets IARU −50 dBc",IF(C41&lt;-43,"⚠ Meets FCC −43 dBc only","🚨 Fails FCC −43 dBc"))</f>
        <v>🚨 Fails FCC −43 dBc</v>
      </c>
      <c r="F41" s="81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17 dBc at 2f — insufficient for IARU −50 dBc. Increase filter order or lower fc.</v>
      </c>
      <c r="G41" s="27"/>
      <c r="H41" s="27" t="str">
        <f aca="false">IF(ABS(C21-1)&gt;0.05,"⚠ ASYMMETRIC FILTER WARNING: Attenuation formula (C41) assumes equal terminations. Actual n=Z_load/R_opt="&amp;TEXT(C21,"0.00")&amp;"×. Symmetric-formula error ≈"&amp;TEXT(ABS(10*LOG10((1+C21)^2/(4*C21))),"0.1")&amp;" dB. Use LTspice to verify actual harmonic rejection with R_opt source.","✅ n≈1: symmetric formula accurate")</f>
        <v>⚠ ASYMMETRIC FILTER WARNING: Attenuation formula (C41) assumes equal terminations. Actual n=Z_load/R_opt=1,55×. Symmetric-formula error ≈0 dB. Use LTspice to verify actual harmonic rejection with R_opt source.</v>
      </c>
      <c r="I41" s="27"/>
    </row>
    <row r="42" customFormat="false" ht="98.85" hidden="false" customHeight="false" outlineLevel="0" collapsed="false">
      <c r="A42" s="27"/>
      <c r="B42" s="47" t="s">
        <v>204</v>
      </c>
      <c r="C42" s="85" t="n">
        <f aca="false">-10*LOG10((1+(10^(0.1/10)-1)*(16*(3*C11/C19)^5-20*(3*C11/C19)^3+5*(3*C11/C19))^2)/(1+(10^(0.1/10)-1)*(16*(C11/C19)^5-20*(C11/C19)^3+5*(C11/C19))^2))</f>
        <v>-38.2143276045362</v>
      </c>
      <c r="D42" s="33" t="s">
        <v>153</v>
      </c>
      <c r="E42" s="33" t="str">
        <f aca="false">IF(C42&lt;-50,"✅ Meets IARU −50 dBc",IF(C42&lt;-43,"⚠ FCC only","🚨 Fails FCC"))</f>
        <v>🚨 Fails FCC</v>
      </c>
      <c r="F42" s="81" t="str">
        <f aca="false">IF(C42&lt;-50,"✅ "&amp;TEXT(ABS(C42),"0.0")&amp;" dBc at 3f — excellent harmonic rejection.","⚠ "&amp;TEXT(ABS(C42),"0.0")&amp;" dBc at 3f — add filter poles for IARU compliance.")</f>
        <v>⚠ 38 dBc at 3f — add filter poles for IARU compliance.</v>
      </c>
      <c r="G42" s="27"/>
      <c r="H42" s="27" t="str">
        <f aca="false">H41</f>
        <v>⚠ ASYMMETRIC FILTER WARNING: Attenuation formula (C41) assumes equal terminations. Actual n=Z_load/R_opt=1,55×. Symmetric-formula error ≈0 dB. Use LTspice to verify actual harmonic rejection with R_opt source.</v>
      </c>
      <c r="I42" s="27"/>
    </row>
    <row r="43" customFormat="false" ht="119" hidden="false" customHeight="false" outlineLevel="0" collapsed="false">
      <c r="A43" s="27"/>
      <c r="B43" s="47" t="s">
        <v>155</v>
      </c>
      <c r="C43" s="87"/>
      <c r="D43" s="74"/>
      <c r="E43" s="27"/>
      <c r="F43" s="81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(Q=0,74×). When using this LPF direct-coupled sheet, connect the LPF directly to the drain WITHOUT the main-sheet L-network. The two approaches are alternatives, not series.</v>
      </c>
      <c r="G43" s="27"/>
      <c r="H43" s="27"/>
      <c r="I43" s="27"/>
    </row>
    <row r="44" customFormat="false" ht="15" hidden="false" customHeight="false" outlineLevel="0" collapsed="false">
      <c r="A44" s="27"/>
      <c r="B44" s="27"/>
      <c r="C44" s="27"/>
      <c r="D44" s="74"/>
      <c r="E44" s="27"/>
      <c r="F44" s="27"/>
      <c r="G44" s="27"/>
      <c r="H44" s="27"/>
      <c r="I44" s="27"/>
    </row>
    <row r="45" customFormat="false" ht="15" hidden="false" customHeight="false" outlineLevel="0" collapsed="false">
      <c r="B45" s="88"/>
    </row>
    <row r="46" customFormat="false" ht="15" hidden="false" customHeight="false" outlineLevel="0" collapsed="false">
      <c r="B46" s="89"/>
    </row>
    <row r="47" customFormat="false" ht="15" hidden="false" customHeight="false" outlineLevel="0" collapsed="false">
      <c r="B47" s="89"/>
    </row>
    <row r="48" customFormat="false" ht="15" hidden="false" customHeight="false" outlineLevel="0" collapsed="false">
      <c r="B48" s="89"/>
    </row>
    <row r="49" customFormat="false" ht="15" hidden="false" customHeight="false" outlineLevel="0" collapsed="false">
      <c r="B49" s="89"/>
    </row>
    <row r="50" customFormat="false" ht="15" hidden="false" customHeight="false" outlineLevel="0" collapsed="false">
      <c r="B50" s="89"/>
    </row>
    <row r="51" customFormat="false" ht="15" hidden="false" customHeight="false" outlineLevel="0" collapsed="false">
      <c r="B51" s="8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6" activeCellId="0" sqref="B1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90" width="2.55"/>
    <col collapsed="false" customWidth="true" hidden="false" outlineLevel="0" max="2" min="2" style="90" width="81.39"/>
    <col collapsed="false" customWidth="true" hidden="false" outlineLevel="0" max="3" min="3" style="90" width="14.72"/>
    <col collapsed="false" customWidth="true" hidden="false" outlineLevel="0" max="4" min="4" style="90" width="6.25"/>
    <col collapsed="false" customWidth="true" hidden="false" outlineLevel="0" max="5" min="5" style="90" width="11.53"/>
    <col collapsed="false" customWidth="true" hidden="false" outlineLevel="0" max="6" min="6" style="90" width="34.25"/>
    <col collapsed="false" customWidth="true" hidden="false" outlineLevel="0" max="7" min="7" style="90" width="2.55"/>
    <col collapsed="false" customWidth="true" hidden="false" outlineLevel="0" max="8" min="8" style="90" width="25.32"/>
    <col collapsed="false" customWidth="true" hidden="false" outlineLevel="0" max="9" min="9" style="90" width="2.55"/>
    <col collapsed="false" customWidth="false" hidden="false" outlineLevel="0" max="10" min="10" style="90" width="8.68"/>
    <col collapsed="false" customWidth="true" hidden="false" outlineLevel="0" max="11" min="11" style="90" width="2.55"/>
    <col collapsed="false" customWidth="false" hidden="false" outlineLevel="0" max="16384" min="12" style="90" width="8.68"/>
  </cols>
  <sheetData>
    <row r="1" customFormat="false" ht="15" hidden="false" customHeight="false" outlineLevel="0" collapsed="false">
      <c r="A1" s="91"/>
      <c r="B1" s="91"/>
      <c r="C1" s="91"/>
      <c r="D1" s="91"/>
      <c r="E1" s="91"/>
      <c r="F1" s="91"/>
      <c r="G1" s="91"/>
      <c r="H1" s="91"/>
      <c r="I1" s="91"/>
    </row>
    <row r="2" customFormat="false" ht="15" hidden="false" customHeight="false" outlineLevel="0" collapsed="false">
      <c r="A2" s="91"/>
      <c r="B2" s="81" t="s">
        <v>205</v>
      </c>
      <c r="C2" s="91"/>
      <c r="D2" s="91"/>
      <c r="E2" s="91"/>
      <c r="F2" s="91"/>
      <c r="G2" s="91"/>
      <c r="H2" s="91"/>
      <c r="I2" s="91"/>
    </row>
    <row r="3" customFormat="false" ht="15" hidden="false" customHeight="false" outlineLevel="0" collapsed="false">
      <c r="A3" s="91"/>
      <c r="B3" s="91"/>
      <c r="C3" s="91"/>
      <c r="D3" s="91"/>
      <c r="E3" s="91"/>
      <c r="F3" s="91"/>
      <c r="G3" s="91"/>
      <c r="H3" s="91"/>
      <c r="I3" s="91"/>
    </row>
    <row r="4" customFormat="false" ht="50.7" hidden="false" customHeight="false" outlineLevel="0" collapsed="false">
      <c r="A4" s="91"/>
      <c r="B4" s="92" t="s">
        <v>206</v>
      </c>
      <c r="C4" s="91"/>
      <c r="D4" s="91"/>
      <c r="E4" s="91"/>
      <c r="F4" s="91"/>
      <c r="G4" s="91"/>
      <c r="H4" s="91"/>
      <c r="I4" s="91"/>
    </row>
    <row r="5" customFormat="false" ht="15" hidden="false" customHeight="false" outlineLevel="0" collapsed="false">
      <c r="A5" s="91"/>
      <c r="B5" s="93" t="s">
        <v>2</v>
      </c>
      <c r="C5" s="91"/>
      <c r="D5" s="91"/>
      <c r="E5" s="91"/>
      <c r="F5" s="91"/>
      <c r="G5" s="91"/>
      <c r="H5" s="91"/>
      <c r="I5" s="91"/>
    </row>
    <row r="6" customFormat="false" ht="15" hidden="false" customHeight="false" outlineLevel="0" collapsed="false">
      <c r="A6" s="91"/>
      <c r="B6" s="94"/>
      <c r="C6" s="91"/>
      <c r="D6" s="91"/>
      <c r="E6" s="91"/>
      <c r="F6" s="91"/>
      <c r="G6" s="91"/>
      <c r="H6" s="91"/>
      <c r="I6" s="91"/>
    </row>
    <row r="7" customFormat="false" ht="87.65" hidden="false" customHeight="false" outlineLevel="0" collapsed="false">
      <c r="A7" s="91"/>
      <c r="B7" s="92" t="s">
        <v>207</v>
      </c>
      <c r="C7" s="91"/>
      <c r="D7" s="91"/>
      <c r="E7" s="91"/>
      <c r="F7" s="91"/>
      <c r="G7" s="91"/>
      <c r="H7" s="91"/>
      <c r="I7" s="91"/>
    </row>
    <row r="8" customFormat="false" ht="15" hidden="false" customHeight="false" outlineLevel="0" collapsed="false">
      <c r="A8" s="91"/>
      <c r="B8" s="91"/>
      <c r="C8" s="91"/>
      <c r="D8" s="91"/>
      <c r="E8" s="91"/>
      <c r="F8" s="91"/>
      <c r="G8" s="91"/>
      <c r="H8" s="91"/>
      <c r="I8" s="91"/>
    </row>
    <row r="9" customFormat="false" ht="15" hidden="false" customHeight="false" outlineLevel="0" collapsed="false">
      <c r="A9" s="91"/>
      <c r="B9" s="81" t="s">
        <v>172</v>
      </c>
      <c r="C9" s="91"/>
      <c r="D9" s="91"/>
      <c r="E9" s="91"/>
      <c r="F9" s="91"/>
      <c r="G9" s="91"/>
      <c r="H9" s="91"/>
      <c r="I9" s="91"/>
    </row>
    <row r="10" customFormat="false" ht="15" hidden="false" customHeight="false" outlineLevel="0" collapsed="false">
      <c r="A10" s="91"/>
      <c r="B10" s="63" t="s">
        <v>8</v>
      </c>
      <c r="C10" s="64" t="s">
        <v>9</v>
      </c>
      <c r="D10" s="95" t="s">
        <v>10</v>
      </c>
      <c r="E10" s="96"/>
      <c r="F10" s="95" t="s">
        <v>47</v>
      </c>
      <c r="G10" s="96"/>
      <c r="H10" s="96"/>
      <c r="I10" s="91"/>
    </row>
    <row r="11" customFormat="false" ht="27.6" hidden="false" customHeight="false" outlineLevel="0" collapsed="false">
      <c r="A11" s="91"/>
      <c r="B11" s="59" t="s">
        <v>173</v>
      </c>
      <c r="C11" s="97" t="n">
        <f aca="false">'Class-E Calculator'!C18</f>
        <v>7</v>
      </c>
      <c r="D11" s="81" t="s">
        <v>16</v>
      </c>
      <c r="E11" s="91"/>
      <c r="F11" s="81" t="s">
        <v>174</v>
      </c>
      <c r="G11" s="91"/>
      <c r="H11" s="91"/>
      <c r="I11" s="91"/>
    </row>
    <row r="12" customFormat="false" ht="66.75" hidden="false" customHeight="false" outlineLevel="0" collapsed="false">
      <c r="A12" s="91"/>
      <c r="B12" s="59" t="s">
        <v>175</v>
      </c>
      <c r="C12" s="97" t="n">
        <f aca="false">'Class-E Calculator'!C42</f>
        <v>32.289222500631</v>
      </c>
      <c r="D12" s="81" t="s">
        <v>22</v>
      </c>
      <c r="E12" s="91"/>
      <c r="F12" s="81" t="s">
        <v>176</v>
      </c>
      <c r="G12" s="91"/>
      <c r="H12" s="91"/>
      <c r="I12" s="91"/>
    </row>
    <row r="13" customFormat="false" ht="27.6" hidden="false" customHeight="false" outlineLevel="0" collapsed="false">
      <c r="A13" s="91"/>
      <c r="B13" s="59" t="s">
        <v>177</v>
      </c>
      <c r="C13" s="97" t="n">
        <f aca="false">'Class-E Calculator'!C25</f>
        <v>50</v>
      </c>
      <c r="D13" s="81" t="s">
        <v>22</v>
      </c>
      <c r="E13" s="91"/>
      <c r="F13" s="81" t="s">
        <v>178</v>
      </c>
      <c r="G13" s="91"/>
      <c r="H13" s="91"/>
      <c r="I13" s="91"/>
    </row>
    <row r="14" customFormat="false" ht="27.6" hidden="false" customHeight="false" outlineLevel="0" collapsed="false">
      <c r="A14" s="91"/>
      <c r="B14" s="59" t="s">
        <v>179</v>
      </c>
      <c r="C14" s="97" t="n">
        <f aca="false">'Class-E Calculator'!C16</f>
        <v>5</v>
      </c>
      <c r="D14" s="81" t="s">
        <v>12</v>
      </c>
      <c r="E14" s="91"/>
      <c r="F14" s="81" t="s">
        <v>180</v>
      </c>
      <c r="G14" s="91"/>
      <c r="H14" s="91"/>
      <c r="I14" s="91"/>
    </row>
    <row r="15" customFormat="false" ht="15" hidden="false" customHeight="false" outlineLevel="0" collapsed="false">
      <c r="A15" s="91"/>
      <c r="B15" s="59" t="s">
        <v>181</v>
      </c>
      <c r="C15" s="97" t="n">
        <f aca="false">'Class-E Calculator'!C17</f>
        <v>0.4</v>
      </c>
      <c r="D15" s="81" t="s">
        <v>14</v>
      </c>
      <c r="E15" s="91"/>
      <c r="F15" s="81" t="s">
        <v>182</v>
      </c>
      <c r="G15" s="91"/>
      <c r="H15" s="91"/>
      <c r="I15" s="91"/>
    </row>
    <row r="16" customFormat="false" ht="15" hidden="false" customHeight="false" outlineLevel="0" collapsed="false">
      <c r="A16" s="91"/>
      <c r="B16" s="91"/>
      <c r="C16" s="98"/>
      <c r="D16" s="91"/>
      <c r="E16" s="91"/>
      <c r="F16" s="91"/>
      <c r="G16" s="91"/>
      <c r="H16" s="91"/>
      <c r="I16" s="91"/>
    </row>
    <row r="17" customFormat="false" ht="27.6" hidden="false" customHeight="false" outlineLevel="0" collapsed="false">
      <c r="A17" s="91"/>
      <c r="B17" s="81" t="s">
        <v>46</v>
      </c>
      <c r="C17" s="98"/>
      <c r="D17" s="91"/>
      <c r="E17" s="91"/>
      <c r="F17" s="81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n=02 — Valid range, verify with LTspice.</v>
      </c>
      <c r="G17" s="91"/>
      <c r="H17" s="91"/>
      <c r="I17" s="91"/>
    </row>
    <row r="18" customFormat="false" ht="15" hidden="false" customHeight="false" outlineLevel="0" collapsed="false">
      <c r="A18" s="91"/>
      <c r="B18" s="63" t="s">
        <v>8</v>
      </c>
      <c r="C18" s="64" t="s">
        <v>9</v>
      </c>
      <c r="D18" s="95" t="s">
        <v>10</v>
      </c>
      <c r="E18" s="96"/>
      <c r="F18" s="95" t="s">
        <v>47</v>
      </c>
      <c r="G18" s="96"/>
      <c r="H18" s="96"/>
      <c r="I18" s="91"/>
    </row>
    <row r="19" customFormat="false" ht="40.5" hidden="false" customHeight="false" outlineLevel="0" collapsed="false">
      <c r="A19" s="91"/>
      <c r="B19" s="59" t="s">
        <v>132</v>
      </c>
      <c r="C19" s="99" t="n">
        <f aca="false">1.4*C11</f>
        <v>9.8</v>
      </c>
      <c r="D19" s="81" t="s">
        <v>16</v>
      </c>
      <c r="E19" s="91"/>
      <c r="F19" s="81" t="s">
        <v>183</v>
      </c>
      <c r="G19" s="91"/>
      <c r="H19" s="91"/>
      <c r="I19" s="91"/>
    </row>
    <row r="20" customFormat="false" ht="15" hidden="false" customHeight="false" outlineLevel="0" collapsed="false">
      <c r="A20" s="91"/>
      <c r="B20" s="59" t="s">
        <v>134</v>
      </c>
      <c r="C20" s="99" t="n">
        <f aca="false">2*PI()*C19*1000000</f>
        <v>61575216.0103599</v>
      </c>
      <c r="D20" s="81" t="s">
        <v>49</v>
      </c>
      <c r="E20" s="91"/>
      <c r="F20" s="91"/>
      <c r="G20" s="91"/>
      <c r="H20" s="91"/>
      <c r="I20" s="91"/>
    </row>
    <row r="21" customFormat="false" ht="79.5" hidden="false" customHeight="false" outlineLevel="0" collapsed="false">
      <c r="A21" s="91"/>
      <c r="B21" s="59" t="s">
        <v>184</v>
      </c>
      <c r="C21" s="99" t="n">
        <f aca="false">IF(NOT(ISNUMBER(C12)),"⚠ R_opt invalid — fix QL on main sheet first",C13/C12)</f>
        <v>1.54850430353419</v>
      </c>
      <c r="D21" s="81" t="s">
        <v>18</v>
      </c>
      <c r="E21" s="91"/>
      <c r="F21" s="81" t="s">
        <v>208</v>
      </c>
      <c r="G21" s="91"/>
      <c r="H21" s="91"/>
      <c r="I21" s="91"/>
    </row>
    <row r="22" customFormat="false" ht="79.5" hidden="false" customHeight="false" outlineLevel="0" collapsed="false">
      <c r="A22" s="91"/>
      <c r="B22" s="59" t="s">
        <v>186</v>
      </c>
      <c r="C22" s="99" t="n">
        <f aca="false">IF(NOT(ISNUMBER(C12)),"⚠ R_opt invalid — fix QL on main sheet first",SQRT(C12*C13))</f>
        <v>40.1803574527598</v>
      </c>
      <c r="D22" s="81" t="s">
        <v>22</v>
      </c>
      <c r="E22" s="91"/>
      <c r="F22" s="81" t="s">
        <v>209</v>
      </c>
      <c r="G22" s="91"/>
      <c r="H22" s="91"/>
      <c r="I22" s="91"/>
    </row>
    <row r="23" customFormat="false" ht="40.5" hidden="false" customHeight="false" outlineLevel="0" collapsed="false">
      <c r="A23" s="91"/>
      <c r="B23" s="59" t="s">
        <v>188</v>
      </c>
      <c r="C23" s="99" t="n">
        <f aca="false">3.562*('Class-E Calculator'!C16-'Class-E Calculator'!C20)+'Class-E Calculator'!C20</f>
        <v>17.81</v>
      </c>
      <c r="D23" s="81" t="s">
        <v>12</v>
      </c>
      <c r="E23" s="91"/>
      <c r="F23" s="81" t="s">
        <v>189</v>
      </c>
      <c r="G23" s="91"/>
      <c r="H23" s="91"/>
      <c r="I23" s="91"/>
    </row>
    <row r="24" customFormat="false" ht="53.7" hidden="false" customHeight="false" outlineLevel="0" collapsed="false">
      <c r="A24" s="91"/>
      <c r="B24" s="59" t="s">
        <v>190</v>
      </c>
      <c r="C24" s="99" t="n">
        <f aca="false">SQRT(C15/C13)</f>
        <v>0.0894427190999916</v>
      </c>
      <c r="D24" s="81" t="s">
        <v>54</v>
      </c>
      <c r="E24" s="91"/>
      <c r="F24" s="81" t="s">
        <v>210</v>
      </c>
      <c r="G24" s="91"/>
      <c r="H24" s="91"/>
      <c r="I24" s="91"/>
    </row>
    <row r="25" customFormat="false" ht="15" hidden="false" customHeight="false" outlineLevel="0" collapsed="false">
      <c r="A25" s="91"/>
      <c r="B25" s="91"/>
      <c r="C25" s="98"/>
      <c r="D25" s="91"/>
      <c r="E25" s="91"/>
      <c r="F25" s="91"/>
      <c r="G25" s="91"/>
      <c r="H25" s="91"/>
      <c r="I25" s="91"/>
    </row>
    <row r="26" customFormat="false" ht="15" hidden="false" customHeight="false" outlineLevel="0" collapsed="false">
      <c r="A26" s="91"/>
      <c r="B26" s="81" t="s">
        <v>211</v>
      </c>
      <c r="C26" s="91"/>
      <c r="D26" s="91"/>
      <c r="E26" s="91"/>
      <c r="F26" s="91"/>
      <c r="G26" s="91"/>
      <c r="H26" s="91"/>
      <c r="I26" s="91"/>
    </row>
    <row r="27" customFormat="false" ht="15" hidden="false" customHeight="false" outlineLevel="0" collapsed="false">
      <c r="A27" s="91"/>
      <c r="B27" s="63" t="s">
        <v>8</v>
      </c>
      <c r="C27" s="64" t="s">
        <v>9</v>
      </c>
      <c r="D27" s="64" t="s">
        <v>10</v>
      </c>
      <c r="E27" s="95" t="s">
        <v>59</v>
      </c>
      <c r="F27" s="95" t="s">
        <v>47</v>
      </c>
      <c r="G27" s="96"/>
      <c r="H27" s="96"/>
      <c r="I27" s="91"/>
    </row>
    <row r="28" customFormat="false" ht="40.5" hidden="false" customHeight="false" outlineLevel="0" collapsed="false">
      <c r="A28" s="91"/>
      <c r="B28" s="59" t="s">
        <v>212</v>
      </c>
      <c r="C28" s="99" t="n">
        <f aca="false">IF(NOT(ISNUMBER(C12)),"⚠ R_opt invalid — fix QL on main sheet first",IF(ISNUMBER(C21),IF(C21&gt;3,"⚠ n&gt;3: Use L-network + 50Ω LPF",1.181203*C22/C20),"⚠ n invalid"))</f>
        <v>7.70783471653384E-007</v>
      </c>
      <c r="D28" s="81" t="s">
        <v>66</v>
      </c>
      <c r="E28" s="91"/>
      <c r="F28" s="81" t="s">
        <v>194</v>
      </c>
      <c r="G28" s="91"/>
      <c r="H28" s="91"/>
      <c r="I28" s="91"/>
    </row>
    <row r="29" customFormat="false" ht="15" hidden="false" customHeight="false" outlineLevel="0" collapsed="false">
      <c r="A29" s="91"/>
      <c r="B29" s="59" t="s">
        <v>139</v>
      </c>
      <c r="C29" s="99" t="n">
        <f aca="false">IF(ISNUMBER(C28),C28*1000000,C28)</f>
        <v>0.770783471653384</v>
      </c>
      <c r="D29" s="81" t="s">
        <v>69</v>
      </c>
      <c r="E29" s="81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01 µH</v>
      </c>
      <c r="F29" s="91"/>
      <c r="G29" s="91"/>
      <c r="H29" s="91"/>
      <c r="I29" s="91"/>
    </row>
    <row r="30" customFormat="false" ht="66.75" hidden="false" customHeight="false" outlineLevel="0" collapsed="false">
      <c r="A30" s="91"/>
      <c r="B30" s="59" t="s">
        <v>213</v>
      </c>
      <c r="C30" s="99" t="n">
        <f aca="false">IF(NOT(ISNUMBER(C12)),"⚠ R_opt invalid — fix QL on main sheet first",IF(C21&gt;3,"⚠ n&gt;3: Use L-network + 50Ω LPF",1.422802/(C12*C20)))</f>
        <v>7.15617471713412E-010</v>
      </c>
      <c r="D30" s="81" t="s">
        <v>61</v>
      </c>
      <c r="E30" s="91"/>
      <c r="F30" s="81" t="s">
        <v>196</v>
      </c>
      <c r="G30" s="91"/>
      <c r="H30" s="91"/>
      <c r="I30" s="91"/>
    </row>
    <row r="31" customFormat="false" ht="15" hidden="false" customHeight="false" outlineLevel="0" collapsed="false">
      <c r="A31" s="91"/>
      <c r="B31" s="59" t="s">
        <v>142</v>
      </c>
      <c r="C31" s="99" t="n">
        <f aca="false">IF(ISNUMBER(C30),C30*1000000000000,C30)</f>
        <v>715.617471713412</v>
      </c>
      <c r="D31" s="81" t="s">
        <v>30</v>
      </c>
      <c r="E31" s="81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750 pF</v>
      </c>
      <c r="F31" s="91"/>
      <c r="G31" s="91"/>
      <c r="H31" s="91"/>
      <c r="I31" s="91"/>
    </row>
    <row r="32" customFormat="false" ht="40.5" hidden="false" customHeight="false" outlineLevel="0" collapsed="false">
      <c r="A32" s="91"/>
      <c r="B32" s="59" t="s">
        <v>214</v>
      </c>
      <c r="C32" s="99" t="n">
        <f aca="false">IF(NOT(ISNUMBER(C12)),"⚠ R_opt invalid — fix QL on main sheet first",IF(ISNUMBER(C21),IF(C21&gt;3,"⚠ n&gt;3: Use L-network + 50Ω LPF",2.096694*C22/C20),"⚠ n invalid"))</f>
        <v>1.36817895003214E-006</v>
      </c>
      <c r="D32" s="81" t="s">
        <v>66</v>
      </c>
      <c r="E32" s="91"/>
      <c r="F32" s="81" t="s">
        <v>215</v>
      </c>
      <c r="G32" s="91"/>
      <c r="H32" s="91"/>
      <c r="I32" s="91"/>
    </row>
    <row r="33" customFormat="false" ht="15" hidden="false" customHeight="false" outlineLevel="0" collapsed="false">
      <c r="A33" s="91"/>
      <c r="B33" s="59" t="s">
        <v>145</v>
      </c>
      <c r="C33" s="99" t="n">
        <f aca="false">IF(ISNUMBER(C32),C32*1000000,C32)</f>
        <v>1.36817895003214</v>
      </c>
      <c r="D33" s="81" t="s">
        <v>69</v>
      </c>
      <c r="E33" s="81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01 µH</v>
      </c>
      <c r="F33" s="91"/>
      <c r="G33" s="91"/>
      <c r="H33" s="91"/>
      <c r="I33" s="91"/>
    </row>
    <row r="34" customFormat="false" ht="249.6" hidden="false" customHeight="false" outlineLevel="0" collapsed="false">
      <c r="A34" s="91"/>
      <c r="B34" s="59" t="s">
        <v>216</v>
      </c>
      <c r="C34" s="99" t="n">
        <f aca="false">IF(NOT(ISNUMBER(C12)),"⚠ R_opt invalid — fix QL on main sheet first",IF(NOT(ISNUMBER(C22)),"⚠ Z0_eff invalid",IF(C21&gt;3,"⚠ n&gt;3: Use L-network + 50Ω LPF",1.573393/(C22*C20))))</f>
        <v>6.3594194910652E-010</v>
      </c>
      <c r="D34" s="81" t="s">
        <v>61</v>
      </c>
      <c r="E34" s="91"/>
      <c r="F34" s="81" t="s">
        <v>217</v>
      </c>
      <c r="G34" s="91"/>
      <c r="H34" s="91"/>
      <c r="I34" s="91"/>
    </row>
    <row r="35" customFormat="false" ht="15" hidden="false" customHeight="false" outlineLevel="0" collapsed="false">
      <c r="A35" s="91"/>
      <c r="B35" s="59" t="s">
        <v>148</v>
      </c>
      <c r="C35" s="99" t="n">
        <f aca="false">IF(ISNUMBER(C34),C34*1000000000000,C34)</f>
        <v>635.94194910652</v>
      </c>
      <c r="D35" s="81" t="s">
        <v>30</v>
      </c>
      <c r="E35" s="81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620 pF</v>
      </c>
      <c r="F35" s="91"/>
      <c r="G35" s="91"/>
      <c r="H35" s="91"/>
      <c r="I35" s="91"/>
    </row>
    <row r="36" customFormat="false" ht="40.5" hidden="false" customHeight="false" outlineLevel="0" collapsed="false">
      <c r="A36" s="91"/>
      <c r="B36" s="59" t="s">
        <v>218</v>
      </c>
      <c r="C36" s="99" t="n">
        <f aca="false">IF(NOT(ISNUMBER(C12)),"⚠ R_opt invalid — fix QL on main sheet first",IF(ISNUMBER(C21),IF(C21&gt;3,"⚠ n&gt;3: Use L-network + 50Ω LPF",2.096694*C22/C20),"⚠ n invalid"))</f>
        <v>1.36817895003214E-006</v>
      </c>
      <c r="D36" s="81" t="s">
        <v>66</v>
      </c>
      <c r="E36" s="91"/>
      <c r="F36" s="81" t="s">
        <v>219</v>
      </c>
      <c r="G36" s="91"/>
      <c r="H36" s="91"/>
      <c r="I36" s="91"/>
    </row>
    <row r="37" customFormat="false" ht="15" hidden="false" customHeight="false" outlineLevel="0" collapsed="false">
      <c r="A37" s="91"/>
      <c r="B37" s="59" t="s">
        <v>151</v>
      </c>
      <c r="C37" s="99" t="n">
        <f aca="false">IF(ISNUMBER(C36),C36*1000000,C36)</f>
        <v>1.36817895003214</v>
      </c>
      <c r="D37" s="81" t="s">
        <v>69</v>
      </c>
      <c r="E37" s="81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01 µH</v>
      </c>
      <c r="F37" s="91"/>
      <c r="G37" s="91"/>
      <c r="H37" s="91"/>
      <c r="I37" s="91"/>
    </row>
    <row r="38" customFormat="false" ht="66.75" hidden="false" customHeight="false" outlineLevel="0" collapsed="false">
      <c r="A38" s="91"/>
      <c r="B38" s="59" t="s">
        <v>220</v>
      </c>
      <c r="C38" s="99" t="n">
        <f aca="false">IF(NOT(ISNUMBER(C12)),"⚠ R_opt invalid — fix QL on main sheet first",IF(NOT(ISNUMBER(C21)),"⚠ n invalid",IF(C21&gt;3,"⚠ n&gt;3: Use L-network + 50Ω LPF",1.422802/(C13*C20))))</f>
        <v>4.62134635389867E-010</v>
      </c>
      <c r="D38" s="81" t="s">
        <v>61</v>
      </c>
      <c r="E38" s="91"/>
      <c r="F38" s="81" t="s">
        <v>221</v>
      </c>
      <c r="G38" s="91"/>
      <c r="H38" s="91"/>
      <c r="I38" s="91"/>
    </row>
    <row r="39" customFormat="false" ht="15" hidden="false" customHeight="false" outlineLevel="0" collapsed="false">
      <c r="A39" s="91"/>
      <c r="B39" s="59" t="s">
        <v>222</v>
      </c>
      <c r="C39" s="99" t="n">
        <f aca="false">IF(ISNUMBER(C38),C38*1000000000000,C38)</f>
        <v>462.134635389867</v>
      </c>
      <c r="D39" s="81" t="s">
        <v>30</v>
      </c>
      <c r="E39" s="81" t="str">
        <f aca="false">IFERROR(IF(ISNUMBER(C39),TEXT(10^INT(LOG10(ABS(C39)+1E-030))*CHOOSE(MATCH(C39/10^INT(LOG10(ABS(C39)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"&amp;D39,C39),"—")</f>
        <v>470 pF</v>
      </c>
      <c r="F39" s="91"/>
      <c r="G39" s="91"/>
      <c r="H39" s="91"/>
      <c r="I39" s="91"/>
    </row>
    <row r="40" customFormat="false" ht="66.75" hidden="false" customHeight="false" outlineLevel="0" collapsed="false">
      <c r="A40" s="91"/>
      <c r="B40" s="59" t="s">
        <v>223</v>
      </c>
      <c r="C40" s="99" t="n">
        <f aca="false">IF(NOT(ISNUMBER(C12)),"⚠ R_opt invalid — fix QL on main sheet first",IF(ISNUMBER(C21),IF(C21&gt;3,"⚠ n&gt;3: Use L-network + 50Ω LPF",1.181203*C22/C20),"⚠ n invalid"))</f>
        <v>7.70783471653384E-007</v>
      </c>
      <c r="D40" s="81" t="s">
        <v>66</v>
      </c>
      <c r="E40" s="91"/>
      <c r="F40" s="81" t="s">
        <v>224</v>
      </c>
      <c r="G40" s="91"/>
      <c r="H40" s="91"/>
      <c r="I40" s="91"/>
    </row>
    <row r="41" customFormat="false" ht="15" hidden="false" customHeight="false" outlineLevel="0" collapsed="false">
      <c r="A41" s="91"/>
      <c r="B41" s="59" t="s">
        <v>225</v>
      </c>
      <c r="C41" s="99" t="n">
        <f aca="false">IF(ISNUMBER(C40),C40*1000000,C40)</f>
        <v>0.770783471653384</v>
      </c>
      <c r="D41" s="81" t="s">
        <v>69</v>
      </c>
      <c r="E41" s="81" t="str">
        <f aca="false">IFERROR(IF(ISNUMBER(C41),TEXT(10^INT(LOG10(ABS(C41)+1E-030))*CHOOSE(MATCH(C41/10^INT(LOG10(ABS(C41)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"&amp;D41,C41),"—")</f>
        <v>01 µH</v>
      </c>
      <c r="F41" s="91"/>
      <c r="G41" s="91"/>
      <c r="H41" s="91"/>
      <c r="I41" s="91"/>
    </row>
    <row r="42" customFormat="false" ht="15" hidden="false" customHeight="false" outlineLevel="0" collapsed="false">
      <c r="A42" s="91"/>
      <c r="B42" s="91"/>
      <c r="C42" s="98"/>
      <c r="D42" s="91"/>
      <c r="E42" s="91"/>
      <c r="F42" s="91"/>
      <c r="G42" s="91"/>
      <c r="H42" s="91"/>
      <c r="I42" s="91"/>
    </row>
    <row r="43" customFormat="false" ht="15" hidden="false" customHeight="false" outlineLevel="0" collapsed="false">
      <c r="A43" s="91"/>
      <c r="B43" s="81" t="s">
        <v>110</v>
      </c>
      <c r="C43" s="91"/>
      <c r="D43" s="91"/>
      <c r="E43" s="91"/>
      <c r="F43" s="91"/>
      <c r="G43" s="91"/>
      <c r="H43" s="91"/>
      <c r="I43" s="91"/>
    </row>
    <row r="44" customFormat="false" ht="15" hidden="false" customHeight="false" outlineLevel="0" collapsed="false">
      <c r="A44" s="91"/>
      <c r="B44" s="63" t="s">
        <v>8</v>
      </c>
      <c r="C44" s="64" t="s">
        <v>9</v>
      </c>
      <c r="D44" s="95" t="s">
        <v>10</v>
      </c>
      <c r="E44" s="96"/>
      <c r="F44" s="95" t="s">
        <v>47</v>
      </c>
      <c r="G44" s="96"/>
      <c r="H44" s="96"/>
      <c r="I44" s="91"/>
    </row>
    <row r="45" customFormat="false" ht="119" hidden="false" customHeight="false" outlineLevel="0" collapsed="false">
      <c r="A45" s="91"/>
      <c r="B45" s="59" t="s">
        <v>226</v>
      </c>
      <c r="C45" s="99" t="n">
        <f aca="false">-10*LOG10((1+(10^(0.1/10)-1)*(64*(2*C11/C19)^7-112*(2*C11/C19)^5+56*(2*C11/C19)^3-7*(2*C11/C19))^2)/(1+(10^(0.1/10)-1)*(64*(C11/C19)^7-112*(C11/C19)^5+56*(C11/C19)^3-7*(C11/C19))^2))</f>
        <v>-32.0640508287318</v>
      </c>
      <c r="D45" s="81" t="s">
        <v>153</v>
      </c>
      <c r="E45" s="81" t="str">
        <f aca="false">IF(C45&lt;-50,"✅ Meets IARU −50 dBc",IF(C45&lt;-43,"⚠ Meets FCC −43 dBc only","🚨 Insufficient rejection"))</f>
        <v>🚨 Insufficient rejection</v>
      </c>
      <c r="F45" s="81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 dBc — reduce fc to 1.2×f.</v>
      </c>
      <c r="G45" s="91"/>
      <c r="H45" s="100" t="str">
        <f aca="false">IF(ABS(C21-1)&gt;0.05,"⚠ ASYMMETRIC FILTER WARNING: Attenuation formulas above assume ideal source match at R_opt. For n="&amp;TEXT(C21,"0.0")&amp;" the actual stopband depth may differ ±3–6 dB from Chebyshev predictions. Verify with LTspice simulation.","✅ n≈1 — near-symmetric filter, attenuation estimates reliable.")</f>
        <v>⚠ ASYMMETRIC FILTER WARNING: Attenuation formulas above assume ideal source match at R_opt. For n=02 the actual stopband depth may differ ±3–6 dB from Chebyshev predictions. Verify with LTspice simulation.</v>
      </c>
      <c r="I45" s="91"/>
    </row>
    <row r="46" customFormat="false" ht="119" hidden="false" customHeight="false" outlineLevel="0" collapsed="false">
      <c r="A46" s="91"/>
      <c r="B46" s="59" t="s">
        <v>227</v>
      </c>
      <c r="C46" s="99" t="n">
        <f aca="false">-10*LOG10((1+(10^(0.1/10)-1)*(64*(3*C11/C19)^7-112*(3*C11/C19)^5+56*(3*C11/C19)^3-7*(3*C11/C19))^2)/(1+(10^(0.1/10)-1)*(64*(C11/C19)^7-112*(C11/C19)^5+56*(C11/C19)^3-7*(C11/C19))^2))</f>
        <v>-62.4728499132733</v>
      </c>
      <c r="D46" s="81" t="s">
        <v>153</v>
      </c>
      <c r="E46" s="81" t="str">
        <f aca="false">IF(C46&lt;-50,"✅ Meets IARU −50 dBc",IF(C46&lt;-43,"⚠ FCC only","🚨 Insufficient rejection"))</f>
        <v>✅ Meets IARU −50 dBc</v>
      </c>
      <c r="F46" s="81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 dBc at 3f — meets IARU −50 dBc limit.</v>
      </c>
      <c r="G46" s="91"/>
      <c r="H46" s="100" t="str">
        <f aca="false">H45</f>
        <v>⚠ ASYMMETRIC FILTER WARNING: Attenuation formulas above assume ideal source match at R_opt. For n=02 the actual stopband depth may differ ±3–6 dB from Chebyshev predictions. Verify with LTspice simulation.</v>
      </c>
      <c r="I46" s="91"/>
    </row>
    <row r="47" customFormat="false" ht="53.7" hidden="false" customHeight="false" outlineLevel="0" collapsed="false">
      <c r="A47" s="91"/>
      <c r="B47" s="59" t="s">
        <v>155</v>
      </c>
      <c r="C47" s="98"/>
      <c r="D47" s="91"/>
      <c r="E47" s="91"/>
      <c r="F47" s="81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91"/>
      <c r="H47" s="91"/>
      <c r="I47" s="91"/>
    </row>
    <row r="48" customFormat="false" ht="15" hidden="false" customHeight="false" outlineLevel="0" collapsed="false">
      <c r="A48" s="91"/>
      <c r="B48" s="91"/>
      <c r="C48" s="91"/>
      <c r="D48" s="91"/>
      <c r="E48" s="91"/>
      <c r="F48" s="91"/>
      <c r="G48" s="91"/>
      <c r="H48" s="91"/>
      <c r="I48" s="9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5" activeCellId="0" sqref="F25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90" width="11.73"/>
    <col collapsed="false" customWidth="true" hidden="false" outlineLevel="0" max="2" min="2" style="90" width="9.18"/>
    <col collapsed="false" customWidth="true" hidden="false" outlineLevel="0" max="3" min="3" style="90" width="8.99"/>
    <col collapsed="false" customWidth="true" hidden="false" outlineLevel="0" max="4" min="4" style="90" width="4.33"/>
    <col collapsed="false" customWidth="true" hidden="false" outlineLevel="0" max="5" min="5" style="90" width="9.91"/>
    <col collapsed="false" customWidth="true" hidden="false" outlineLevel="0" max="6" min="6" style="90" width="9.19"/>
    <col collapsed="false" customWidth="false" hidden="false" outlineLevel="0" max="7" min="7" style="90" width="8.65"/>
    <col collapsed="false" customWidth="true" hidden="false" outlineLevel="0" max="8" min="8" style="90" width="5.32"/>
    <col collapsed="false" customWidth="true" hidden="false" outlineLevel="0" max="9" min="9" style="90" width="10.06"/>
    <col collapsed="false" customWidth="true" hidden="false" outlineLevel="0" max="10" min="10" style="90" width="11.71"/>
    <col collapsed="false" customWidth="true" hidden="false" outlineLevel="0" max="11" min="11" style="90" width="17.88"/>
    <col collapsed="false" customWidth="true" hidden="false" outlineLevel="0" max="12" min="12" style="90" width="40.06"/>
    <col collapsed="false" customWidth="true" hidden="false" outlineLevel="0" max="13" min="13" style="90" width="8.58"/>
    <col collapsed="false" customWidth="true" hidden="false" outlineLevel="0" max="14" min="14" style="90" width="10.59"/>
    <col collapsed="false" customWidth="true" hidden="false" outlineLevel="0" max="15" min="15" style="90" width="31.16"/>
    <col collapsed="false" customWidth="true" hidden="false" outlineLevel="0" max="16" min="16" style="90" width="11.53"/>
    <col collapsed="false" customWidth="true" hidden="false" outlineLevel="0" max="17" min="17" style="90" width="10.97"/>
    <col collapsed="false" customWidth="false" hidden="false" outlineLevel="0" max="257" min="18" style="90" width="8.64"/>
  </cols>
  <sheetData>
    <row r="1" customFormat="false" ht="15" hidden="false" customHeight="false" outlineLevel="0" collapsed="false">
      <c r="A1" s="101" t="s">
        <v>228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1"/>
      <c r="N1" s="91"/>
      <c r="O1" s="91"/>
      <c r="P1" s="91"/>
      <c r="Q1" s="91"/>
    </row>
    <row r="2" customFormat="false" ht="15" hidden="false" customHeight="false" outlineLevel="0" collapsed="false">
      <c r="A2" s="102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91"/>
      <c r="N2" s="91"/>
      <c r="O2" s="91"/>
      <c r="P2" s="91"/>
      <c r="Q2" s="91"/>
    </row>
    <row r="3" s="109" customFormat="true" ht="27.6" hidden="false" customHeight="false" outlineLevel="0" collapsed="false">
      <c r="A3" s="104" t="s">
        <v>229</v>
      </c>
      <c r="B3" s="104" t="s">
        <v>230</v>
      </c>
      <c r="C3" s="105" t="s">
        <v>231</v>
      </c>
      <c r="D3" s="105" t="s">
        <v>232</v>
      </c>
      <c r="E3" s="105" t="s">
        <v>233</v>
      </c>
      <c r="F3" s="105" t="s">
        <v>234</v>
      </c>
      <c r="G3" s="105" t="s">
        <v>235</v>
      </c>
      <c r="H3" s="105" t="s">
        <v>236</v>
      </c>
      <c r="I3" s="105" t="s">
        <v>237</v>
      </c>
      <c r="J3" s="105" t="s">
        <v>238</v>
      </c>
      <c r="K3" s="105" t="s">
        <v>239</v>
      </c>
      <c r="L3" s="104" t="s">
        <v>240</v>
      </c>
      <c r="M3" s="105" t="s">
        <v>241</v>
      </c>
      <c r="N3" s="106" t="s">
        <v>242</v>
      </c>
      <c r="O3" s="106" t="s">
        <v>243</v>
      </c>
      <c r="P3" s="64" t="s">
        <v>244</v>
      </c>
      <c r="Q3" s="107" t="s">
        <v>245</v>
      </c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  <c r="AW3" s="108"/>
      <c r="AX3" s="108"/>
      <c r="AY3" s="108"/>
      <c r="AZ3" s="108"/>
      <c r="BA3" s="108"/>
      <c r="BB3" s="108"/>
      <c r="BC3" s="108"/>
      <c r="BD3" s="108"/>
      <c r="BE3" s="108"/>
      <c r="BF3" s="108"/>
      <c r="BG3" s="108"/>
      <c r="BH3" s="108"/>
      <c r="BI3" s="108"/>
      <c r="BJ3" s="108"/>
      <c r="BK3" s="108"/>
      <c r="BL3" s="108"/>
      <c r="BM3" s="108"/>
      <c r="BN3" s="108"/>
      <c r="BO3" s="108"/>
      <c r="BP3" s="108"/>
      <c r="BQ3" s="108"/>
      <c r="BR3" s="108"/>
      <c r="BS3" s="108"/>
      <c r="BT3" s="108"/>
      <c r="BU3" s="108"/>
      <c r="BV3" s="108"/>
      <c r="BW3" s="108"/>
      <c r="BX3" s="108"/>
      <c r="BY3" s="108"/>
      <c r="BZ3" s="108"/>
      <c r="CA3" s="108"/>
      <c r="CB3" s="108"/>
      <c r="CC3" s="108"/>
      <c r="CD3" s="108"/>
      <c r="CE3" s="108"/>
      <c r="CF3" s="108"/>
      <c r="CG3" s="108"/>
      <c r="CH3" s="108"/>
      <c r="CI3" s="108"/>
      <c r="CJ3" s="108"/>
      <c r="CK3" s="108"/>
      <c r="CL3" s="108"/>
      <c r="CM3" s="108"/>
      <c r="CN3" s="108"/>
      <c r="CO3" s="108"/>
      <c r="CP3" s="108"/>
      <c r="CQ3" s="108"/>
      <c r="CR3" s="108"/>
      <c r="CS3" s="108"/>
      <c r="CT3" s="108"/>
      <c r="CU3" s="108"/>
      <c r="CV3" s="108"/>
      <c r="CW3" s="108"/>
      <c r="CX3" s="108"/>
      <c r="CY3" s="108"/>
      <c r="CZ3" s="108"/>
      <c r="DA3" s="108"/>
      <c r="DB3" s="108"/>
      <c r="DC3" s="108"/>
      <c r="DD3" s="108"/>
      <c r="DE3" s="108"/>
      <c r="DF3" s="108"/>
      <c r="DG3" s="108"/>
      <c r="DH3" s="108"/>
      <c r="DI3" s="108"/>
      <c r="DJ3" s="108"/>
      <c r="DK3" s="108"/>
      <c r="DL3" s="108"/>
      <c r="DM3" s="108"/>
      <c r="DN3" s="108"/>
      <c r="DO3" s="108"/>
      <c r="DP3" s="108"/>
      <c r="DQ3" s="108"/>
      <c r="DR3" s="108"/>
      <c r="DS3" s="108"/>
      <c r="DT3" s="108"/>
      <c r="DU3" s="108"/>
      <c r="DV3" s="108"/>
      <c r="DW3" s="108"/>
      <c r="DX3" s="108"/>
      <c r="DY3" s="108"/>
      <c r="DZ3" s="108"/>
      <c r="EA3" s="108"/>
      <c r="EB3" s="108"/>
      <c r="EC3" s="108"/>
      <c r="ED3" s="108"/>
      <c r="EE3" s="108"/>
      <c r="EF3" s="108"/>
      <c r="EG3" s="108"/>
      <c r="EH3" s="108"/>
      <c r="EI3" s="108"/>
      <c r="EJ3" s="108"/>
      <c r="EK3" s="108"/>
      <c r="EL3" s="108"/>
      <c r="EM3" s="108"/>
      <c r="EN3" s="108"/>
      <c r="EO3" s="108"/>
      <c r="EP3" s="108"/>
      <c r="EQ3" s="108"/>
      <c r="ER3" s="108"/>
      <c r="ES3" s="108"/>
      <c r="ET3" s="108"/>
      <c r="EU3" s="108"/>
      <c r="EV3" s="108"/>
      <c r="EW3" s="108"/>
      <c r="EX3" s="108"/>
      <c r="EY3" s="108"/>
      <c r="EZ3" s="108"/>
      <c r="FA3" s="108"/>
      <c r="FB3" s="108"/>
      <c r="FC3" s="108"/>
      <c r="FD3" s="108"/>
      <c r="FE3" s="108"/>
      <c r="FF3" s="108"/>
      <c r="FG3" s="108"/>
      <c r="FH3" s="108"/>
      <c r="FI3" s="108"/>
      <c r="FJ3" s="108"/>
      <c r="FK3" s="108"/>
      <c r="FL3" s="108"/>
      <c r="FM3" s="108"/>
      <c r="FN3" s="108"/>
      <c r="FO3" s="108"/>
      <c r="FP3" s="108"/>
      <c r="FQ3" s="108"/>
      <c r="FR3" s="108"/>
      <c r="FS3" s="108"/>
      <c r="FT3" s="108"/>
      <c r="FU3" s="108"/>
      <c r="FV3" s="108"/>
      <c r="FW3" s="108"/>
      <c r="FX3" s="108"/>
      <c r="FY3" s="108"/>
      <c r="FZ3" s="108"/>
      <c r="GA3" s="108"/>
      <c r="GB3" s="108"/>
      <c r="GC3" s="108"/>
      <c r="GD3" s="108"/>
      <c r="GE3" s="108"/>
      <c r="GF3" s="108"/>
      <c r="GG3" s="108"/>
      <c r="GH3" s="108"/>
      <c r="GI3" s="108"/>
      <c r="GJ3" s="108"/>
      <c r="GK3" s="108"/>
      <c r="GL3" s="108"/>
      <c r="GM3" s="108"/>
      <c r="GN3" s="108"/>
      <c r="GO3" s="108"/>
      <c r="GP3" s="108"/>
      <c r="GQ3" s="108"/>
      <c r="GR3" s="108"/>
      <c r="GS3" s="108"/>
      <c r="GT3" s="108"/>
      <c r="GU3" s="108"/>
      <c r="GV3" s="108"/>
      <c r="GW3" s="108"/>
      <c r="GX3" s="108"/>
      <c r="GY3" s="108"/>
      <c r="GZ3" s="108"/>
      <c r="HA3" s="108"/>
      <c r="HB3" s="108"/>
      <c r="HC3" s="108"/>
      <c r="HD3" s="108"/>
      <c r="HE3" s="108"/>
      <c r="HF3" s="108"/>
      <c r="HG3" s="108"/>
      <c r="HH3" s="108"/>
      <c r="HI3" s="108"/>
      <c r="HJ3" s="108"/>
      <c r="HK3" s="108"/>
      <c r="HL3" s="108"/>
      <c r="HM3" s="108"/>
      <c r="HN3" s="108"/>
      <c r="HO3" s="108"/>
      <c r="HP3" s="108"/>
      <c r="HQ3" s="108"/>
      <c r="HR3" s="108"/>
      <c r="HS3" s="108"/>
      <c r="HT3" s="108"/>
      <c r="HU3" s="108"/>
      <c r="HV3" s="108"/>
      <c r="HW3" s="108"/>
      <c r="HX3" s="108"/>
      <c r="HY3" s="108"/>
      <c r="HZ3" s="108"/>
      <c r="IA3" s="108"/>
      <c r="IB3" s="108"/>
      <c r="IC3" s="108"/>
      <c r="ID3" s="108"/>
      <c r="IE3" s="108"/>
      <c r="IF3" s="108"/>
      <c r="IG3" s="108"/>
      <c r="IH3" s="108"/>
      <c r="II3" s="108"/>
      <c r="IJ3" s="108"/>
      <c r="IK3" s="108"/>
      <c r="IL3" s="108"/>
      <c r="IM3" s="108"/>
      <c r="IN3" s="108"/>
      <c r="IO3" s="108"/>
      <c r="IP3" s="108"/>
      <c r="IQ3" s="108"/>
      <c r="IR3" s="108"/>
      <c r="IS3" s="108"/>
      <c r="IT3" s="108"/>
      <c r="IU3" s="108"/>
      <c r="IV3" s="108"/>
      <c r="IW3" s="108"/>
    </row>
    <row r="4" s="109" customFormat="true" ht="23.1" hidden="false" customHeight="false" outlineLevel="0" collapsed="false">
      <c r="A4" s="110" t="s">
        <v>5</v>
      </c>
      <c r="B4" s="110" t="s">
        <v>246</v>
      </c>
      <c r="C4" s="110" t="n">
        <v>60</v>
      </c>
      <c r="D4" s="110" t="n">
        <v>0.5</v>
      </c>
      <c r="E4" s="110" t="n">
        <v>5</v>
      </c>
      <c r="F4" s="110" t="n">
        <v>60</v>
      </c>
      <c r="G4" s="110" t="n">
        <v>12</v>
      </c>
      <c r="H4" s="110" t="n">
        <v>0.83</v>
      </c>
      <c r="I4" s="110" t="n">
        <v>300</v>
      </c>
      <c r="J4" s="110" t="s">
        <v>247</v>
      </c>
      <c r="K4" s="110" t="s">
        <v>248</v>
      </c>
      <c r="L4" s="111" t="s">
        <v>249</v>
      </c>
      <c r="M4" s="110" t="n">
        <v>150</v>
      </c>
      <c r="N4" s="112" t="s">
        <v>250</v>
      </c>
      <c r="O4" s="112" t="n">
        <v>0.4</v>
      </c>
      <c r="P4" s="113" t="s">
        <v>251</v>
      </c>
      <c r="Q4" s="113" t="n">
        <v>2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  <c r="AU4" s="108"/>
      <c r="AV4" s="108"/>
      <c r="AW4" s="108"/>
      <c r="AX4" s="108"/>
      <c r="AY4" s="108"/>
      <c r="AZ4" s="108"/>
      <c r="BA4" s="108"/>
      <c r="BB4" s="108"/>
      <c r="BC4" s="108"/>
      <c r="BD4" s="108"/>
      <c r="BE4" s="108"/>
      <c r="BF4" s="108"/>
      <c r="BG4" s="108"/>
      <c r="BH4" s="108"/>
      <c r="BI4" s="108"/>
      <c r="BJ4" s="108"/>
      <c r="BK4" s="108"/>
      <c r="BL4" s="108"/>
      <c r="BM4" s="108"/>
      <c r="BN4" s="108"/>
      <c r="BO4" s="108"/>
      <c r="BP4" s="108"/>
      <c r="BQ4" s="108"/>
      <c r="BR4" s="108"/>
      <c r="BS4" s="108"/>
      <c r="BT4" s="108"/>
      <c r="BU4" s="108"/>
      <c r="BV4" s="108"/>
      <c r="BW4" s="108"/>
      <c r="BX4" s="108"/>
      <c r="BY4" s="108"/>
      <c r="BZ4" s="108"/>
      <c r="CA4" s="108"/>
      <c r="CB4" s="108"/>
      <c r="CC4" s="108"/>
      <c r="CD4" s="108"/>
      <c r="CE4" s="108"/>
      <c r="CF4" s="108"/>
      <c r="CG4" s="108"/>
      <c r="CH4" s="108"/>
      <c r="CI4" s="108"/>
      <c r="CJ4" s="108"/>
      <c r="CK4" s="108"/>
      <c r="CL4" s="108"/>
      <c r="CM4" s="108"/>
      <c r="CN4" s="108"/>
      <c r="CO4" s="108"/>
      <c r="CP4" s="108"/>
      <c r="CQ4" s="108"/>
      <c r="CR4" s="108"/>
      <c r="CS4" s="108"/>
      <c r="CT4" s="108"/>
      <c r="CU4" s="108"/>
      <c r="CV4" s="108"/>
      <c r="CW4" s="108"/>
      <c r="CX4" s="108"/>
      <c r="CY4" s="108"/>
      <c r="CZ4" s="108"/>
      <c r="DA4" s="108"/>
      <c r="DB4" s="108"/>
      <c r="DC4" s="108"/>
      <c r="DD4" s="108"/>
      <c r="DE4" s="108"/>
      <c r="DF4" s="108"/>
      <c r="DG4" s="108"/>
      <c r="DH4" s="108"/>
      <c r="DI4" s="108"/>
      <c r="DJ4" s="108"/>
      <c r="DK4" s="108"/>
      <c r="DL4" s="108"/>
      <c r="DM4" s="108"/>
      <c r="DN4" s="108"/>
      <c r="DO4" s="108"/>
      <c r="DP4" s="108"/>
      <c r="DQ4" s="108"/>
      <c r="DR4" s="108"/>
      <c r="DS4" s="108"/>
      <c r="DT4" s="108"/>
      <c r="DU4" s="108"/>
      <c r="DV4" s="108"/>
      <c r="DW4" s="108"/>
      <c r="DX4" s="108"/>
      <c r="DY4" s="108"/>
      <c r="DZ4" s="108"/>
      <c r="EA4" s="108"/>
      <c r="EB4" s="108"/>
      <c r="EC4" s="108"/>
      <c r="ED4" s="108"/>
      <c r="EE4" s="108"/>
      <c r="EF4" s="108"/>
      <c r="EG4" s="108"/>
      <c r="EH4" s="108"/>
      <c r="EI4" s="108"/>
      <c r="EJ4" s="108"/>
      <c r="EK4" s="108"/>
      <c r="EL4" s="108"/>
      <c r="EM4" s="108"/>
      <c r="EN4" s="108"/>
      <c r="EO4" s="108"/>
      <c r="EP4" s="108"/>
      <c r="EQ4" s="108"/>
      <c r="ER4" s="108"/>
      <c r="ES4" s="108"/>
      <c r="ET4" s="108"/>
      <c r="EU4" s="108"/>
      <c r="EV4" s="108"/>
      <c r="EW4" s="108"/>
      <c r="EX4" s="108"/>
      <c r="EY4" s="108"/>
      <c r="EZ4" s="108"/>
      <c r="FA4" s="108"/>
      <c r="FB4" s="108"/>
      <c r="FC4" s="108"/>
      <c r="FD4" s="108"/>
      <c r="FE4" s="108"/>
      <c r="FF4" s="108"/>
      <c r="FG4" s="108"/>
      <c r="FH4" s="108"/>
      <c r="FI4" s="108"/>
      <c r="FJ4" s="108"/>
      <c r="FK4" s="108"/>
      <c r="FL4" s="108"/>
      <c r="FM4" s="108"/>
      <c r="FN4" s="108"/>
      <c r="FO4" s="108"/>
      <c r="FP4" s="108"/>
      <c r="FQ4" s="108"/>
      <c r="FR4" s="108"/>
      <c r="FS4" s="108"/>
      <c r="FT4" s="108"/>
      <c r="FU4" s="108"/>
      <c r="FV4" s="108"/>
      <c r="FW4" s="108"/>
      <c r="FX4" s="108"/>
      <c r="FY4" s="108"/>
      <c r="FZ4" s="108"/>
      <c r="GA4" s="108"/>
      <c r="GB4" s="108"/>
      <c r="GC4" s="108"/>
      <c r="GD4" s="108"/>
      <c r="GE4" s="108"/>
      <c r="GF4" s="108"/>
      <c r="GG4" s="108"/>
      <c r="GH4" s="108"/>
      <c r="GI4" s="108"/>
      <c r="GJ4" s="108"/>
      <c r="GK4" s="108"/>
      <c r="GL4" s="108"/>
      <c r="GM4" s="108"/>
      <c r="GN4" s="108"/>
      <c r="GO4" s="108"/>
      <c r="GP4" s="108"/>
      <c r="GQ4" s="108"/>
      <c r="GR4" s="108"/>
      <c r="GS4" s="108"/>
      <c r="GT4" s="108"/>
      <c r="GU4" s="108"/>
      <c r="GV4" s="108"/>
      <c r="GW4" s="108"/>
      <c r="GX4" s="108"/>
      <c r="GY4" s="108"/>
      <c r="GZ4" s="108"/>
      <c r="HA4" s="108"/>
      <c r="HB4" s="108"/>
      <c r="HC4" s="108"/>
      <c r="HD4" s="108"/>
      <c r="HE4" s="108"/>
      <c r="HF4" s="108"/>
      <c r="HG4" s="108"/>
      <c r="HH4" s="108"/>
      <c r="HI4" s="108"/>
      <c r="HJ4" s="108"/>
      <c r="HK4" s="108"/>
      <c r="HL4" s="108"/>
      <c r="HM4" s="108"/>
      <c r="HN4" s="108"/>
      <c r="HO4" s="108"/>
      <c r="HP4" s="108"/>
      <c r="HQ4" s="108"/>
      <c r="HR4" s="108"/>
      <c r="HS4" s="108"/>
      <c r="HT4" s="108"/>
      <c r="HU4" s="108"/>
      <c r="HV4" s="108"/>
      <c r="HW4" s="108"/>
      <c r="HX4" s="108"/>
      <c r="HY4" s="108"/>
      <c r="HZ4" s="108"/>
      <c r="IA4" s="108"/>
      <c r="IB4" s="108"/>
      <c r="IC4" s="108"/>
      <c r="ID4" s="108"/>
      <c r="IE4" s="108"/>
      <c r="IF4" s="108"/>
      <c r="IG4" s="108"/>
      <c r="IH4" s="108"/>
      <c r="II4" s="108"/>
      <c r="IJ4" s="108"/>
      <c r="IK4" s="108"/>
      <c r="IL4" s="108"/>
      <c r="IM4" s="108"/>
      <c r="IN4" s="108"/>
      <c r="IO4" s="108"/>
      <c r="IP4" s="108"/>
      <c r="IQ4" s="108"/>
      <c r="IR4" s="108"/>
      <c r="IS4" s="108"/>
      <c r="IT4" s="108"/>
      <c r="IU4" s="108"/>
      <c r="IV4" s="108"/>
      <c r="IW4" s="108"/>
    </row>
    <row r="5" s="109" customFormat="true" ht="23.1" hidden="false" customHeight="false" outlineLevel="0" collapsed="false">
      <c r="A5" s="110" t="s">
        <v>252</v>
      </c>
      <c r="B5" s="110" t="s">
        <v>246</v>
      </c>
      <c r="C5" s="110" t="n">
        <v>60</v>
      </c>
      <c r="D5" s="110" t="n">
        <v>0.2</v>
      </c>
      <c r="E5" s="110" t="n">
        <v>5.3</v>
      </c>
      <c r="F5" s="110" t="n">
        <v>50</v>
      </c>
      <c r="G5" s="110" t="n">
        <v>10</v>
      </c>
      <c r="H5" s="110" t="n">
        <v>0.4</v>
      </c>
      <c r="I5" s="110" t="n">
        <v>200</v>
      </c>
      <c r="J5" s="110" t="s">
        <v>253</v>
      </c>
      <c r="K5" s="110" t="s">
        <v>254</v>
      </c>
      <c r="L5" s="111" t="s">
        <v>255</v>
      </c>
      <c r="M5" s="110" t="n">
        <v>150</v>
      </c>
      <c r="N5" s="112" t="s">
        <v>256</v>
      </c>
      <c r="O5" s="112" t="n">
        <v>0.4</v>
      </c>
      <c r="P5" s="113" t="s">
        <v>251</v>
      </c>
      <c r="Q5" s="113" t="n">
        <v>2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8"/>
      <c r="AV5" s="108"/>
      <c r="AW5" s="108"/>
      <c r="AX5" s="108"/>
      <c r="AY5" s="108"/>
      <c r="AZ5" s="108"/>
      <c r="BA5" s="108"/>
      <c r="BB5" s="108"/>
      <c r="BC5" s="108"/>
      <c r="BD5" s="108"/>
      <c r="BE5" s="108"/>
      <c r="BF5" s="108"/>
      <c r="BG5" s="108"/>
      <c r="BH5" s="108"/>
      <c r="BI5" s="108"/>
      <c r="BJ5" s="108"/>
      <c r="BK5" s="108"/>
      <c r="BL5" s="108"/>
      <c r="BM5" s="108"/>
      <c r="BN5" s="108"/>
      <c r="BO5" s="108"/>
      <c r="BP5" s="108"/>
      <c r="BQ5" s="108"/>
      <c r="BR5" s="108"/>
      <c r="BS5" s="108"/>
      <c r="BT5" s="108"/>
      <c r="BU5" s="108"/>
      <c r="BV5" s="108"/>
      <c r="BW5" s="108"/>
      <c r="BX5" s="108"/>
      <c r="BY5" s="108"/>
      <c r="BZ5" s="108"/>
      <c r="CA5" s="108"/>
      <c r="CB5" s="108"/>
      <c r="CC5" s="108"/>
      <c r="CD5" s="108"/>
      <c r="CE5" s="108"/>
      <c r="CF5" s="108"/>
      <c r="CG5" s="108"/>
      <c r="CH5" s="108"/>
      <c r="CI5" s="108"/>
      <c r="CJ5" s="108"/>
      <c r="CK5" s="108"/>
      <c r="CL5" s="108"/>
      <c r="CM5" s="108"/>
      <c r="CN5" s="108"/>
      <c r="CO5" s="108"/>
      <c r="CP5" s="108"/>
      <c r="CQ5" s="108"/>
      <c r="CR5" s="108"/>
      <c r="CS5" s="108"/>
      <c r="CT5" s="108"/>
      <c r="CU5" s="108"/>
      <c r="CV5" s="108"/>
      <c r="CW5" s="108"/>
      <c r="CX5" s="108"/>
      <c r="CY5" s="108"/>
      <c r="CZ5" s="108"/>
      <c r="DA5" s="108"/>
      <c r="DB5" s="108"/>
      <c r="DC5" s="108"/>
      <c r="DD5" s="108"/>
      <c r="DE5" s="108"/>
      <c r="DF5" s="108"/>
      <c r="DG5" s="108"/>
      <c r="DH5" s="108"/>
      <c r="DI5" s="108"/>
      <c r="DJ5" s="108"/>
      <c r="DK5" s="108"/>
      <c r="DL5" s="108"/>
      <c r="DM5" s="108"/>
      <c r="DN5" s="108"/>
      <c r="DO5" s="108"/>
      <c r="DP5" s="108"/>
      <c r="DQ5" s="108"/>
      <c r="DR5" s="108"/>
      <c r="DS5" s="108"/>
      <c r="DT5" s="108"/>
      <c r="DU5" s="108"/>
      <c r="DV5" s="108"/>
      <c r="DW5" s="108"/>
      <c r="DX5" s="108"/>
      <c r="DY5" s="108"/>
      <c r="DZ5" s="108"/>
      <c r="EA5" s="108"/>
      <c r="EB5" s="108"/>
      <c r="EC5" s="108"/>
      <c r="ED5" s="108"/>
      <c r="EE5" s="108"/>
      <c r="EF5" s="108"/>
      <c r="EG5" s="108"/>
      <c r="EH5" s="108"/>
      <c r="EI5" s="108"/>
      <c r="EJ5" s="108"/>
      <c r="EK5" s="108"/>
      <c r="EL5" s="108"/>
      <c r="EM5" s="108"/>
      <c r="EN5" s="108"/>
      <c r="EO5" s="108"/>
      <c r="EP5" s="108"/>
      <c r="EQ5" s="108"/>
      <c r="ER5" s="108"/>
      <c r="ES5" s="108"/>
      <c r="ET5" s="108"/>
      <c r="EU5" s="108"/>
      <c r="EV5" s="108"/>
      <c r="EW5" s="108"/>
      <c r="EX5" s="108"/>
      <c r="EY5" s="108"/>
      <c r="EZ5" s="108"/>
      <c r="FA5" s="108"/>
      <c r="FB5" s="108"/>
      <c r="FC5" s="108"/>
      <c r="FD5" s="108"/>
      <c r="FE5" s="108"/>
      <c r="FF5" s="108"/>
      <c r="FG5" s="108"/>
      <c r="FH5" s="108"/>
      <c r="FI5" s="108"/>
      <c r="FJ5" s="108"/>
      <c r="FK5" s="108"/>
      <c r="FL5" s="108"/>
      <c r="FM5" s="108"/>
      <c r="FN5" s="108"/>
      <c r="FO5" s="108"/>
      <c r="FP5" s="108"/>
      <c r="FQ5" s="108"/>
      <c r="FR5" s="108"/>
      <c r="FS5" s="108"/>
      <c r="FT5" s="108"/>
      <c r="FU5" s="108"/>
      <c r="FV5" s="108"/>
      <c r="FW5" s="108"/>
      <c r="FX5" s="108"/>
      <c r="FY5" s="108"/>
      <c r="FZ5" s="108"/>
      <c r="GA5" s="108"/>
      <c r="GB5" s="108"/>
      <c r="GC5" s="108"/>
      <c r="GD5" s="108"/>
      <c r="GE5" s="108"/>
      <c r="GF5" s="108"/>
      <c r="GG5" s="108"/>
      <c r="GH5" s="108"/>
      <c r="GI5" s="108"/>
      <c r="GJ5" s="108"/>
      <c r="GK5" s="108"/>
      <c r="GL5" s="108"/>
      <c r="GM5" s="108"/>
      <c r="GN5" s="108"/>
      <c r="GO5" s="108"/>
      <c r="GP5" s="108"/>
      <c r="GQ5" s="108"/>
      <c r="GR5" s="108"/>
      <c r="GS5" s="108"/>
      <c r="GT5" s="108"/>
      <c r="GU5" s="108"/>
      <c r="GV5" s="108"/>
      <c r="GW5" s="108"/>
      <c r="GX5" s="108"/>
      <c r="GY5" s="108"/>
      <c r="GZ5" s="108"/>
      <c r="HA5" s="108"/>
      <c r="HB5" s="108"/>
      <c r="HC5" s="108"/>
      <c r="HD5" s="108"/>
      <c r="HE5" s="108"/>
      <c r="HF5" s="108"/>
      <c r="HG5" s="108"/>
      <c r="HH5" s="108"/>
      <c r="HI5" s="108"/>
      <c r="HJ5" s="108"/>
      <c r="HK5" s="108"/>
      <c r="HL5" s="108"/>
      <c r="HM5" s="108"/>
      <c r="HN5" s="108"/>
      <c r="HO5" s="108"/>
      <c r="HP5" s="108"/>
      <c r="HQ5" s="108"/>
      <c r="HR5" s="108"/>
      <c r="HS5" s="108"/>
      <c r="HT5" s="108"/>
      <c r="HU5" s="108"/>
      <c r="HV5" s="108"/>
      <c r="HW5" s="108"/>
      <c r="HX5" s="108"/>
      <c r="HY5" s="108"/>
      <c r="HZ5" s="108"/>
      <c r="IA5" s="108"/>
      <c r="IB5" s="108"/>
      <c r="IC5" s="108"/>
      <c r="ID5" s="108"/>
      <c r="IE5" s="108"/>
      <c r="IF5" s="108"/>
      <c r="IG5" s="108"/>
      <c r="IH5" s="108"/>
      <c r="II5" s="108"/>
      <c r="IJ5" s="108"/>
      <c r="IK5" s="108"/>
      <c r="IL5" s="108"/>
      <c r="IM5" s="108"/>
      <c r="IN5" s="108"/>
      <c r="IO5" s="108"/>
      <c r="IP5" s="108"/>
      <c r="IQ5" s="108"/>
      <c r="IR5" s="108"/>
      <c r="IS5" s="108"/>
      <c r="IT5" s="108"/>
      <c r="IU5" s="108"/>
      <c r="IV5" s="108"/>
      <c r="IW5" s="108"/>
    </row>
    <row r="6" s="109" customFormat="true" ht="23.1" hidden="false" customHeight="false" outlineLevel="0" collapsed="false">
      <c r="A6" s="110" t="s">
        <v>257</v>
      </c>
      <c r="B6" s="110" t="s">
        <v>258</v>
      </c>
      <c r="C6" s="110" t="n">
        <v>100</v>
      </c>
      <c r="D6" s="110" t="n">
        <v>5.6</v>
      </c>
      <c r="E6" s="110" t="n">
        <v>0.54</v>
      </c>
      <c r="F6" s="110" t="n">
        <v>135</v>
      </c>
      <c r="G6" s="110" t="n">
        <v>100</v>
      </c>
      <c r="H6" s="110" t="n">
        <v>43</v>
      </c>
      <c r="I6" s="110" t="n">
        <v>50</v>
      </c>
      <c r="J6" s="110" t="s">
        <v>259</v>
      </c>
      <c r="K6" s="110" t="s">
        <v>260</v>
      </c>
      <c r="L6" s="111" t="s">
        <v>261</v>
      </c>
      <c r="M6" s="110" t="n">
        <v>150</v>
      </c>
      <c r="N6" s="112" t="s">
        <v>262</v>
      </c>
      <c r="O6" s="112" t="n">
        <v>0.35</v>
      </c>
      <c r="P6" s="113" t="s">
        <v>263</v>
      </c>
      <c r="Q6" s="113" t="n">
        <v>2.3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08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08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08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08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08"/>
      <c r="CZ6" s="108"/>
      <c r="DA6" s="108"/>
      <c r="DB6" s="108"/>
      <c r="DC6" s="108"/>
      <c r="DD6" s="108"/>
      <c r="DE6" s="108"/>
      <c r="DF6" s="108"/>
      <c r="DG6" s="108"/>
      <c r="DH6" s="108"/>
      <c r="DI6" s="108"/>
      <c r="DJ6" s="108"/>
      <c r="DK6" s="108"/>
      <c r="DL6" s="108"/>
      <c r="DM6" s="108"/>
      <c r="DN6" s="108"/>
      <c r="DO6" s="108"/>
      <c r="DP6" s="108"/>
      <c r="DQ6" s="108"/>
      <c r="DR6" s="108"/>
      <c r="DS6" s="108"/>
      <c r="DT6" s="108"/>
      <c r="DU6" s="108"/>
      <c r="DV6" s="108"/>
      <c r="DW6" s="108"/>
      <c r="DX6" s="108"/>
      <c r="DY6" s="108"/>
      <c r="DZ6" s="108"/>
      <c r="EA6" s="108"/>
      <c r="EB6" s="108"/>
      <c r="EC6" s="108"/>
      <c r="ED6" s="108"/>
      <c r="EE6" s="108"/>
      <c r="EF6" s="108"/>
      <c r="EG6" s="108"/>
      <c r="EH6" s="108"/>
      <c r="EI6" s="108"/>
      <c r="EJ6" s="108"/>
      <c r="EK6" s="108"/>
      <c r="EL6" s="108"/>
      <c r="EM6" s="108"/>
      <c r="EN6" s="108"/>
      <c r="EO6" s="108"/>
      <c r="EP6" s="108"/>
      <c r="EQ6" s="108"/>
      <c r="ER6" s="108"/>
      <c r="ES6" s="108"/>
      <c r="ET6" s="108"/>
      <c r="EU6" s="108"/>
      <c r="EV6" s="108"/>
      <c r="EW6" s="108"/>
      <c r="EX6" s="108"/>
      <c r="EY6" s="108"/>
      <c r="EZ6" s="108"/>
      <c r="FA6" s="108"/>
      <c r="FB6" s="108"/>
      <c r="FC6" s="108"/>
      <c r="FD6" s="108"/>
      <c r="FE6" s="108"/>
      <c r="FF6" s="108"/>
      <c r="FG6" s="108"/>
      <c r="FH6" s="108"/>
      <c r="FI6" s="108"/>
      <c r="FJ6" s="108"/>
      <c r="FK6" s="108"/>
      <c r="FL6" s="108"/>
      <c r="FM6" s="108"/>
      <c r="FN6" s="108"/>
      <c r="FO6" s="108"/>
      <c r="FP6" s="108"/>
      <c r="FQ6" s="108"/>
      <c r="FR6" s="108"/>
      <c r="FS6" s="108"/>
      <c r="FT6" s="108"/>
      <c r="FU6" s="108"/>
      <c r="FV6" s="108"/>
      <c r="FW6" s="108"/>
      <c r="FX6" s="108"/>
      <c r="FY6" s="108"/>
      <c r="FZ6" s="108"/>
      <c r="GA6" s="108"/>
      <c r="GB6" s="108"/>
      <c r="GC6" s="108"/>
      <c r="GD6" s="108"/>
      <c r="GE6" s="108"/>
      <c r="GF6" s="108"/>
      <c r="GG6" s="108"/>
      <c r="GH6" s="108"/>
      <c r="GI6" s="108"/>
      <c r="GJ6" s="108"/>
      <c r="GK6" s="108"/>
      <c r="GL6" s="108"/>
      <c r="GM6" s="108"/>
      <c r="GN6" s="108"/>
      <c r="GO6" s="108"/>
      <c r="GP6" s="108"/>
      <c r="GQ6" s="108"/>
      <c r="GR6" s="108"/>
      <c r="GS6" s="108"/>
      <c r="GT6" s="108"/>
      <c r="GU6" s="108"/>
      <c r="GV6" s="108"/>
      <c r="GW6" s="108"/>
      <c r="GX6" s="108"/>
      <c r="GY6" s="108"/>
      <c r="GZ6" s="108"/>
      <c r="HA6" s="108"/>
      <c r="HB6" s="108"/>
      <c r="HC6" s="108"/>
      <c r="HD6" s="108"/>
      <c r="HE6" s="108"/>
      <c r="HF6" s="108"/>
      <c r="HG6" s="108"/>
      <c r="HH6" s="108"/>
      <c r="HI6" s="108"/>
      <c r="HJ6" s="108"/>
      <c r="HK6" s="108"/>
      <c r="HL6" s="108"/>
      <c r="HM6" s="108"/>
      <c r="HN6" s="108"/>
      <c r="HO6" s="108"/>
      <c r="HP6" s="108"/>
      <c r="HQ6" s="108"/>
      <c r="HR6" s="108"/>
      <c r="HS6" s="108"/>
      <c r="HT6" s="108"/>
      <c r="HU6" s="108"/>
      <c r="HV6" s="108"/>
      <c r="HW6" s="108"/>
      <c r="HX6" s="108"/>
      <c r="HY6" s="108"/>
      <c r="HZ6" s="108"/>
      <c r="IA6" s="108"/>
      <c r="IB6" s="108"/>
      <c r="IC6" s="108"/>
      <c r="ID6" s="108"/>
      <c r="IE6" s="108"/>
      <c r="IF6" s="108"/>
      <c r="IG6" s="108"/>
      <c r="IH6" s="108"/>
      <c r="II6" s="108"/>
      <c r="IJ6" s="108"/>
      <c r="IK6" s="108"/>
      <c r="IL6" s="108"/>
      <c r="IM6" s="108"/>
      <c r="IN6" s="108"/>
      <c r="IO6" s="108"/>
      <c r="IP6" s="108"/>
      <c r="IQ6" s="108"/>
      <c r="IR6" s="108"/>
      <c r="IS6" s="108"/>
      <c r="IT6" s="108"/>
      <c r="IU6" s="108"/>
      <c r="IV6" s="108"/>
      <c r="IW6" s="108"/>
    </row>
    <row r="7" s="109" customFormat="true" ht="23.1" hidden="false" customHeight="false" outlineLevel="0" collapsed="false">
      <c r="A7" s="110" t="s">
        <v>264</v>
      </c>
      <c r="B7" s="110" t="s">
        <v>258</v>
      </c>
      <c r="C7" s="110" t="n">
        <v>100</v>
      </c>
      <c r="D7" s="110" t="n">
        <v>9.2</v>
      </c>
      <c r="E7" s="110" t="n">
        <v>0.27</v>
      </c>
      <c r="F7" s="110" t="n">
        <v>180</v>
      </c>
      <c r="G7" s="110" t="n">
        <v>135</v>
      </c>
      <c r="H7" s="110" t="n">
        <v>50</v>
      </c>
      <c r="I7" s="110" t="n">
        <v>50</v>
      </c>
      <c r="J7" s="110" t="s">
        <v>265</v>
      </c>
      <c r="K7" s="110" t="s">
        <v>260</v>
      </c>
      <c r="L7" s="111" t="s">
        <v>266</v>
      </c>
      <c r="M7" s="110" t="n">
        <v>150</v>
      </c>
      <c r="N7" s="112" t="s">
        <v>262</v>
      </c>
      <c r="O7" s="112" t="n">
        <v>0.35</v>
      </c>
      <c r="P7" s="113" t="s">
        <v>263</v>
      </c>
      <c r="Q7" s="113" t="n">
        <v>2.3</v>
      </c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08"/>
      <c r="BD7" s="108"/>
      <c r="BE7" s="108"/>
      <c r="BF7" s="108"/>
      <c r="BG7" s="108"/>
      <c r="BH7" s="108"/>
      <c r="BI7" s="108"/>
      <c r="BJ7" s="108"/>
      <c r="BK7" s="108"/>
      <c r="BL7" s="108"/>
      <c r="BM7" s="108"/>
      <c r="BN7" s="108"/>
      <c r="BO7" s="108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08"/>
      <c r="CB7" s="108"/>
      <c r="CC7" s="108"/>
      <c r="CD7" s="108"/>
      <c r="CE7" s="108"/>
      <c r="CF7" s="108"/>
      <c r="CG7" s="108"/>
      <c r="CH7" s="108"/>
      <c r="CI7" s="108"/>
      <c r="CJ7" s="108"/>
      <c r="CK7" s="108"/>
      <c r="CL7" s="108"/>
      <c r="CM7" s="108"/>
      <c r="CN7" s="108"/>
      <c r="CO7" s="108"/>
      <c r="CP7" s="108"/>
      <c r="CQ7" s="108"/>
      <c r="CR7" s="108"/>
      <c r="CS7" s="108"/>
      <c r="CT7" s="108"/>
      <c r="CU7" s="108"/>
      <c r="CV7" s="108"/>
      <c r="CW7" s="108"/>
      <c r="CX7" s="108"/>
      <c r="CY7" s="108"/>
      <c r="CZ7" s="108"/>
      <c r="DA7" s="108"/>
      <c r="DB7" s="108"/>
      <c r="DC7" s="108"/>
      <c r="DD7" s="108"/>
      <c r="DE7" s="108"/>
      <c r="DF7" s="108"/>
      <c r="DG7" s="108"/>
      <c r="DH7" s="108"/>
      <c r="DI7" s="108"/>
      <c r="DJ7" s="108"/>
      <c r="DK7" s="108"/>
      <c r="DL7" s="108"/>
      <c r="DM7" s="108"/>
      <c r="DN7" s="108"/>
      <c r="DO7" s="108"/>
      <c r="DP7" s="108"/>
      <c r="DQ7" s="108"/>
      <c r="DR7" s="108"/>
      <c r="DS7" s="108"/>
      <c r="DT7" s="108"/>
      <c r="DU7" s="108"/>
      <c r="DV7" s="108"/>
      <c r="DW7" s="108"/>
      <c r="DX7" s="108"/>
      <c r="DY7" s="108"/>
      <c r="DZ7" s="108"/>
      <c r="EA7" s="108"/>
      <c r="EB7" s="108"/>
      <c r="EC7" s="108"/>
      <c r="ED7" s="108"/>
      <c r="EE7" s="108"/>
      <c r="EF7" s="108"/>
      <c r="EG7" s="108"/>
      <c r="EH7" s="108"/>
      <c r="EI7" s="108"/>
      <c r="EJ7" s="108"/>
      <c r="EK7" s="108"/>
      <c r="EL7" s="108"/>
      <c r="EM7" s="108"/>
      <c r="EN7" s="108"/>
      <c r="EO7" s="108"/>
      <c r="EP7" s="108"/>
      <c r="EQ7" s="108"/>
      <c r="ER7" s="108"/>
      <c r="ES7" s="108"/>
      <c r="ET7" s="108"/>
      <c r="EU7" s="108"/>
      <c r="EV7" s="108"/>
      <c r="EW7" s="108"/>
      <c r="EX7" s="108"/>
      <c r="EY7" s="108"/>
      <c r="EZ7" s="108"/>
      <c r="FA7" s="108"/>
      <c r="FB7" s="108"/>
      <c r="FC7" s="108"/>
      <c r="FD7" s="108"/>
      <c r="FE7" s="108"/>
      <c r="FF7" s="108"/>
      <c r="FG7" s="108"/>
      <c r="FH7" s="108"/>
      <c r="FI7" s="108"/>
      <c r="FJ7" s="108"/>
      <c r="FK7" s="108"/>
      <c r="FL7" s="108"/>
      <c r="FM7" s="108"/>
      <c r="FN7" s="108"/>
      <c r="FO7" s="108"/>
      <c r="FP7" s="108"/>
      <c r="FQ7" s="108"/>
      <c r="FR7" s="108"/>
      <c r="FS7" s="108"/>
      <c r="FT7" s="108"/>
      <c r="FU7" s="108"/>
      <c r="FV7" s="108"/>
      <c r="FW7" s="108"/>
      <c r="FX7" s="108"/>
      <c r="FY7" s="108"/>
      <c r="FZ7" s="108"/>
      <c r="GA7" s="108"/>
      <c r="GB7" s="108"/>
      <c r="GC7" s="108"/>
      <c r="GD7" s="108"/>
      <c r="GE7" s="108"/>
      <c r="GF7" s="108"/>
      <c r="GG7" s="108"/>
      <c r="GH7" s="108"/>
      <c r="GI7" s="108"/>
      <c r="GJ7" s="108"/>
      <c r="GK7" s="108"/>
      <c r="GL7" s="108"/>
      <c r="GM7" s="108"/>
      <c r="GN7" s="108"/>
      <c r="GO7" s="108"/>
      <c r="GP7" s="108"/>
      <c r="GQ7" s="108"/>
      <c r="GR7" s="108"/>
      <c r="GS7" s="108"/>
      <c r="GT7" s="108"/>
      <c r="GU7" s="108"/>
      <c r="GV7" s="108"/>
      <c r="GW7" s="108"/>
      <c r="GX7" s="108"/>
      <c r="GY7" s="108"/>
      <c r="GZ7" s="108"/>
      <c r="HA7" s="108"/>
      <c r="HB7" s="108"/>
      <c r="HC7" s="108"/>
      <c r="HD7" s="108"/>
      <c r="HE7" s="108"/>
      <c r="HF7" s="108"/>
      <c r="HG7" s="108"/>
      <c r="HH7" s="108"/>
      <c r="HI7" s="108"/>
      <c r="HJ7" s="108"/>
      <c r="HK7" s="108"/>
      <c r="HL7" s="108"/>
      <c r="HM7" s="108"/>
      <c r="HN7" s="108"/>
      <c r="HO7" s="108"/>
      <c r="HP7" s="108"/>
      <c r="HQ7" s="108"/>
      <c r="HR7" s="108"/>
      <c r="HS7" s="108"/>
      <c r="HT7" s="108"/>
      <c r="HU7" s="108"/>
      <c r="HV7" s="108"/>
      <c r="HW7" s="108"/>
      <c r="HX7" s="108"/>
      <c r="HY7" s="108"/>
      <c r="HZ7" s="108"/>
      <c r="IA7" s="108"/>
      <c r="IB7" s="108"/>
      <c r="IC7" s="108"/>
      <c r="ID7" s="108"/>
      <c r="IE7" s="108"/>
      <c r="IF7" s="108"/>
      <c r="IG7" s="108"/>
      <c r="IH7" s="108"/>
      <c r="II7" s="108"/>
      <c r="IJ7" s="108"/>
      <c r="IK7" s="108"/>
      <c r="IL7" s="108"/>
      <c r="IM7" s="108"/>
      <c r="IN7" s="108"/>
      <c r="IO7" s="108"/>
      <c r="IP7" s="108"/>
      <c r="IQ7" s="108"/>
      <c r="IR7" s="108"/>
      <c r="IS7" s="108"/>
      <c r="IT7" s="108"/>
      <c r="IU7" s="108"/>
      <c r="IV7" s="108"/>
      <c r="IW7" s="108"/>
    </row>
    <row r="8" s="109" customFormat="true" ht="23.1" hidden="false" customHeight="false" outlineLevel="0" collapsed="false">
      <c r="A8" s="110" t="s">
        <v>267</v>
      </c>
      <c r="B8" s="110" t="s">
        <v>258</v>
      </c>
      <c r="C8" s="110" t="n">
        <v>100</v>
      </c>
      <c r="D8" s="110" t="n">
        <v>14</v>
      </c>
      <c r="E8" s="110" t="n">
        <v>0.18</v>
      </c>
      <c r="F8" s="110" t="n">
        <v>400</v>
      </c>
      <c r="G8" s="110" t="n">
        <v>260</v>
      </c>
      <c r="H8" s="110" t="n">
        <v>88</v>
      </c>
      <c r="I8" s="110" t="n">
        <v>50</v>
      </c>
      <c r="J8" s="110" t="s">
        <v>268</v>
      </c>
      <c r="K8" s="110" t="s">
        <v>269</v>
      </c>
      <c r="L8" s="111" t="s">
        <v>270</v>
      </c>
      <c r="M8" s="110" t="n">
        <v>150</v>
      </c>
      <c r="N8" s="112" t="s">
        <v>262</v>
      </c>
      <c r="O8" s="112" t="n">
        <v>0.35</v>
      </c>
      <c r="P8" s="113" t="s">
        <v>263</v>
      </c>
      <c r="Q8" s="113" t="n">
        <v>2.3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08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08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08"/>
      <c r="CB8" s="108"/>
      <c r="CC8" s="108"/>
      <c r="CD8" s="108"/>
      <c r="CE8" s="108"/>
      <c r="CF8" s="108"/>
      <c r="CG8" s="108"/>
      <c r="CH8" s="108"/>
      <c r="CI8" s="108"/>
      <c r="CJ8" s="108"/>
      <c r="CK8" s="108"/>
      <c r="CL8" s="108"/>
      <c r="CM8" s="108"/>
      <c r="CN8" s="108"/>
      <c r="CO8" s="108"/>
      <c r="CP8" s="108"/>
      <c r="CQ8" s="108"/>
      <c r="CR8" s="108"/>
      <c r="CS8" s="108"/>
      <c r="CT8" s="108"/>
      <c r="CU8" s="108"/>
      <c r="CV8" s="108"/>
      <c r="CW8" s="108"/>
      <c r="CX8" s="108"/>
      <c r="CY8" s="108"/>
      <c r="CZ8" s="108"/>
      <c r="DA8" s="108"/>
      <c r="DB8" s="108"/>
      <c r="DC8" s="108"/>
      <c r="DD8" s="108"/>
      <c r="DE8" s="108"/>
      <c r="DF8" s="108"/>
      <c r="DG8" s="108"/>
      <c r="DH8" s="108"/>
      <c r="DI8" s="108"/>
      <c r="DJ8" s="108"/>
      <c r="DK8" s="108"/>
      <c r="DL8" s="108"/>
      <c r="DM8" s="108"/>
      <c r="DN8" s="108"/>
      <c r="DO8" s="108"/>
      <c r="DP8" s="108"/>
      <c r="DQ8" s="108"/>
      <c r="DR8" s="108"/>
      <c r="DS8" s="108"/>
      <c r="DT8" s="108"/>
      <c r="DU8" s="108"/>
      <c r="DV8" s="108"/>
      <c r="DW8" s="108"/>
      <c r="DX8" s="108"/>
      <c r="DY8" s="108"/>
      <c r="DZ8" s="108"/>
      <c r="EA8" s="108"/>
      <c r="EB8" s="108"/>
      <c r="EC8" s="108"/>
      <c r="ED8" s="108"/>
      <c r="EE8" s="108"/>
      <c r="EF8" s="108"/>
      <c r="EG8" s="108"/>
      <c r="EH8" s="108"/>
      <c r="EI8" s="108"/>
      <c r="EJ8" s="108"/>
      <c r="EK8" s="108"/>
      <c r="EL8" s="108"/>
      <c r="EM8" s="108"/>
      <c r="EN8" s="108"/>
      <c r="EO8" s="108"/>
      <c r="EP8" s="108"/>
      <c r="EQ8" s="108"/>
      <c r="ER8" s="108"/>
      <c r="ES8" s="108"/>
      <c r="ET8" s="108"/>
      <c r="EU8" s="108"/>
      <c r="EV8" s="108"/>
      <c r="EW8" s="108"/>
      <c r="EX8" s="108"/>
      <c r="EY8" s="108"/>
      <c r="EZ8" s="108"/>
      <c r="FA8" s="108"/>
      <c r="FB8" s="108"/>
      <c r="FC8" s="108"/>
      <c r="FD8" s="108"/>
      <c r="FE8" s="108"/>
      <c r="FF8" s="108"/>
      <c r="FG8" s="108"/>
      <c r="FH8" s="108"/>
      <c r="FI8" s="108"/>
      <c r="FJ8" s="108"/>
      <c r="FK8" s="108"/>
      <c r="FL8" s="108"/>
      <c r="FM8" s="108"/>
      <c r="FN8" s="108"/>
      <c r="FO8" s="108"/>
      <c r="FP8" s="108"/>
      <c r="FQ8" s="108"/>
      <c r="FR8" s="108"/>
      <c r="FS8" s="108"/>
      <c r="FT8" s="108"/>
      <c r="FU8" s="108"/>
      <c r="FV8" s="108"/>
      <c r="FW8" s="108"/>
      <c r="FX8" s="108"/>
      <c r="FY8" s="108"/>
      <c r="FZ8" s="108"/>
      <c r="GA8" s="108"/>
      <c r="GB8" s="108"/>
      <c r="GC8" s="108"/>
      <c r="GD8" s="108"/>
      <c r="GE8" s="108"/>
      <c r="GF8" s="108"/>
      <c r="GG8" s="108"/>
      <c r="GH8" s="108"/>
      <c r="GI8" s="108"/>
      <c r="GJ8" s="108"/>
      <c r="GK8" s="108"/>
      <c r="GL8" s="108"/>
      <c r="GM8" s="108"/>
      <c r="GN8" s="108"/>
      <c r="GO8" s="108"/>
      <c r="GP8" s="108"/>
      <c r="GQ8" s="108"/>
      <c r="GR8" s="108"/>
      <c r="GS8" s="108"/>
      <c r="GT8" s="108"/>
      <c r="GU8" s="108"/>
      <c r="GV8" s="108"/>
      <c r="GW8" s="108"/>
      <c r="GX8" s="108"/>
      <c r="GY8" s="108"/>
      <c r="GZ8" s="108"/>
      <c r="HA8" s="108"/>
      <c r="HB8" s="108"/>
      <c r="HC8" s="108"/>
      <c r="HD8" s="108"/>
      <c r="HE8" s="108"/>
      <c r="HF8" s="108"/>
      <c r="HG8" s="108"/>
      <c r="HH8" s="108"/>
      <c r="HI8" s="108"/>
      <c r="HJ8" s="108"/>
      <c r="HK8" s="108"/>
      <c r="HL8" s="108"/>
      <c r="HM8" s="108"/>
      <c r="HN8" s="108"/>
      <c r="HO8" s="108"/>
      <c r="HP8" s="108"/>
      <c r="HQ8" s="108"/>
      <c r="HR8" s="108"/>
      <c r="HS8" s="108"/>
      <c r="HT8" s="108"/>
      <c r="HU8" s="108"/>
      <c r="HV8" s="108"/>
      <c r="HW8" s="108"/>
      <c r="HX8" s="108"/>
      <c r="HY8" s="108"/>
      <c r="HZ8" s="108"/>
      <c r="IA8" s="108"/>
      <c r="IB8" s="108"/>
      <c r="IC8" s="108"/>
      <c r="ID8" s="108"/>
      <c r="IE8" s="108"/>
      <c r="IF8" s="108"/>
      <c r="IG8" s="108"/>
      <c r="IH8" s="108"/>
      <c r="II8" s="108"/>
      <c r="IJ8" s="108"/>
      <c r="IK8" s="108"/>
      <c r="IL8" s="108"/>
      <c r="IM8" s="108"/>
      <c r="IN8" s="108"/>
      <c r="IO8" s="108"/>
      <c r="IP8" s="108"/>
      <c r="IQ8" s="108"/>
      <c r="IR8" s="108"/>
      <c r="IS8" s="108"/>
      <c r="IT8" s="108"/>
      <c r="IU8" s="108"/>
      <c r="IV8" s="108"/>
      <c r="IW8" s="108"/>
    </row>
    <row r="9" s="109" customFormat="true" ht="23.1" hidden="false" customHeight="false" outlineLevel="0" collapsed="false">
      <c r="A9" s="110" t="s">
        <v>271</v>
      </c>
      <c r="B9" s="110" t="s">
        <v>258</v>
      </c>
      <c r="C9" s="110" t="n">
        <v>100</v>
      </c>
      <c r="D9" s="110" t="n">
        <v>28</v>
      </c>
      <c r="E9" s="110" t="n">
        <v>0.077</v>
      </c>
      <c r="F9" s="110" t="n">
        <v>800</v>
      </c>
      <c r="G9" s="110" t="n">
        <v>450</v>
      </c>
      <c r="H9" s="110" t="n">
        <v>150</v>
      </c>
      <c r="I9" s="110" t="n">
        <v>40</v>
      </c>
      <c r="J9" s="110" t="s">
        <v>272</v>
      </c>
      <c r="K9" s="110" t="s">
        <v>273</v>
      </c>
      <c r="L9" s="111" t="s">
        <v>274</v>
      </c>
      <c r="M9" s="110" t="n">
        <v>150</v>
      </c>
      <c r="N9" s="112" t="s">
        <v>262</v>
      </c>
      <c r="O9" s="112" t="n">
        <v>0.35</v>
      </c>
      <c r="P9" s="113" t="s">
        <v>263</v>
      </c>
      <c r="Q9" s="113" t="n">
        <v>2.3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08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08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08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08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08"/>
      <c r="CN9" s="108"/>
      <c r="CO9" s="108"/>
      <c r="CP9" s="108"/>
      <c r="CQ9" s="108"/>
      <c r="CR9" s="108"/>
      <c r="CS9" s="108"/>
      <c r="CT9" s="108"/>
      <c r="CU9" s="108"/>
      <c r="CV9" s="108"/>
      <c r="CW9" s="108"/>
      <c r="CX9" s="108"/>
      <c r="CY9" s="108"/>
      <c r="CZ9" s="108"/>
      <c r="DA9" s="108"/>
      <c r="DB9" s="108"/>
      <c r="DC9" s="108"/>
      <c r="DD9" s="108"/>
      <c r="DE9" s="108"/>
      <c r="DF9" s="108"/>
      <c r="DG9" s="108"/>
      <c r="DH9" s="108"/>
      <c r="DI9" s="108"/>
      <c r="DJ9" s="108"/>
      <c r="DK9" s="108"/>
      <c r="DL9" s="108"/>
      <c r="DM9" s="108"/>
      <c r="DN9" s="108"/>
      <c r="DO9" s="108"/>
      <c r="DP9" s="108"/>
      <c r="DQ9" s="108"/>
      <c r="DR9" s="108"/>
      <c r="DS9" s="108"/>
      <c r="DT9" s="108"/>
      <c r="DU9" s="108"/>
      <c r="DV9" s="108"/>
      <c r="DW9" s="108"/>
      <c r="DX9" s="108"/>
      <c r="DY9" s="108"/>
      <c r="DZ9" s="108"/>
      <c r="EA9" s="108"/>
      <c r="EB9" s="108"/>
      <c r="EC9" s="108"/>
      <c r="ED9" s="108"/>
      <c r="EE9" s="108"/>
      <c r="EF9" s="108"/>
      <c r="EG9" s="108"/>
      <c r="EH9" s="108"/>
      <c r="EI9" s="108"/>
      <c r="EJ9" s="108"/>
      <c r="EK9" s="108"/>
      <c r="EL9" s="108"/>
      <c r="EM9" s="108"/>
      <c r="EN9" s="108"/>
      <c r="EO9" s="108"/>
      <c r="EP9" s="108"/>
      <c r="EQ9" s="108"/>
      <c r="ER9" s="108"/>
      <c r="ES9" s="108"/>
      <c r="ET9" s="108"/>
      <c r="EU9" s="108"/>
      <c r="EV9" s="108"/>
      <c r="EW9" s="108"/>
      <c r="EX9" s="108"/>
      <c r="EY9" s="108"/>
      <c r="EZ9" s="108"/>
      <c r="FA9" s="108"/>
      <c r="FB9" s="108"/>
      <c r="FC9" s="108"/>
      <c r="FD9" s="108"/>
      <c r="FE9" s="108"/>
      <c r="FF9" s="108"/>
      <c r="FG9" s="108"/>
      <c r="FH9" s="108"/>
      <c r="FI9" s="108"/>
      <c r="FJ9" s="108"/>
      <c r="FK9" s="108"/>
      <c r="FL9" s="108"/>
      <c r="FM9" s="108"/>
      <c r="FN9" s="108"/>
      <c r="FO9" s="108"/>
      <c r="FP9" s="108"/>
      <c r="FQ9" s="108"/>
      <c r="FR9" s="108"/>
      <c r="FS9" s="108"/>
      <c r="FT9" s="108"/>
      <c r="FU9" s="108"/>
      <c r="FV9" s="108"/>
      <c r="FW9" s="108"/>
      <c r="FX9" s="108"/>
      <c r="FY9" s="108"/>
      <c r="FZ9" s="108"/>
      <c r="GA9" s="108"/>
      <c r="GB9" s="108"/>
      <c r="GC9" s="108"/>
      <c r="GD9" s="108"/>
      <c r="GE9" s="108"/>
      <c r="GF9" s="108"/>
      <c r="GG9" s="108"/>
      <c r="GH9" s="108"/>
      <c r="GI9" s="108"/>
      <c r="GJ9" s="108"/>
      <c r="GK9" s="108"/>
      <c r="GL9" s="108"/>
      <c r="GM9" s="108"/>
      <c r="GN9" s="108"/>
      <c r="GO9" s="108"/>
      <c r="GP9" s="108"/>
      <c r="GQ9" s="108"/>
      <c r="GR9" s="108"/>
      <c r="GS9" s="108"/>
      <c r="GT9" s="108"/>
      <c r="GU9" s="108"/>
      <c r="GV9" s="108"/>
      <c r="GW9" s="108"/>
      <c r="GX9" s="108"/>
      <c r="GY9" s="108"/>
      <c r="GZ9" s="108"/>
      <c r="HA9" s="108"/>
      <c r="HB9" s="108"/>
      <c r="HC9" s="108"/>
      <c r="HD9" s="108"/>
      <c r="HE9" s="108"/>
      <c r="HF9" s="108"/>
      <c r="HG9" s="108"/>
      <c r="HH9" s="108"/>
      <c r="HI9" s="108"/>
      <c r="HJ9" s="108"/>
      <c r="HK9" s="108"/>
      <c r="HL9" s="108"/>
      <c r="HM9" s="108"/>
      <c r="HN9" s="108"/>
      <c r="HO9" s="108"/>
      <c r="HP9" s="108"/>
      <c r="HQ9" s="108"/>
      <c r="HR9" s="108"/>
      <c r="HS9" s="108"/>
      <c r="HT9" s="108"/>
      <c r="HU9" s="108"/>
      <c r="HV9" s="108"/>
      <c r="HW9" s="108"/>
      <c r="HX9" s="108"/>
      <c r="HY9" s="108"/>
      <c r="HZ9" s="108"/>
      <c r="IA9" s="108"/>
      <c r="IB9" s="108"/>
      <c r="IC9" s="108"/>
      <c r="ID9" s="108"/>
      <c r="IE9" s="108"/>
      <c r="IF9" s="108"/>
      <c r="IG9" s="108"/>
      <c r="IH9" s="108"/>
      <c r="II9" s="108"/>
      <c r="IJ9" s="108"/>
      <c r="IK9" s="108"/>
      <c r="IL9" s="108"/>
      <c r="IM9" s="108"/>
      <c r="IN9" s="108"/>
      <c r="IO9" s="108"/>
      <c r="IP9" s="108"/>
      <c r="IQ9" s="108"/>
      <c r="IR9" s="108"/>
      <c r="IS9" s="108"/>
      <c r="IT9" s="108"/>
      <c r="IU9" s="108"/>
      <c r="IV9" s="108"/>
      <c r="IW9" s="108"/>
    </row>
    <row r="10" s="109" customFormat="true" ht="23.1" hidden="false" customHeight="false" outlineLevel="0" collapsed="false">
      <c r="A10" s="110" t="s">
        <v>275</v>
      </c>
      <c r="B10" s="110" t="s">
        <v>258</v>
      </c>
      <c r="C10" s="110" t="n">
        <v>55</v>
      </c>
      <c r="D10" s="110" t="n">
        <v>49</v>
      </c>
      <c r="E10" s="110" t="n">
        <v>0.028</v>
      </c>
      <c r="F10" s="110" t="n">
        <v>3050</v>
      </c>
      <c r="G10" s="110" t="n">
        <v>930</v>
      </c>
      <c r="H10" s="110" t="n">
        <v>107</v>
      </c>
      <c r="I10" s="110" t="n">
        <v>30</v>
      </c>
      <c r="J10" s="110" t="s">
        <v>276</v>
      </c>
      <c r="K10" s="110" t="s">
        <v>277</v>
      </c>
      <c r="L10" s="111" t="s">
        <v>278</v>
      </c>
      <c r="M10" s="110" t="n">
        <v>150</v>
      </c>
      <c r="N10" s="112" t="s">
        <v>262</v>
      </c>
      <c r="O10" s="112" t="n">
        <v>0.35</v>
      </c>
      <c r="P10" s="113" t="s">
        <v>263</v>
      </c>
      <c r="Q10" s="113" t="n">
        <v>2.3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08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08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08"/>
      <c r="CB10" s="108"/>
      <c r="CC10" s="108"/>
      <c r="CD10" s="108"/>
      <c r="CE10" s="108"/>
      <c r="CF10" s="108"/>
      <c r="CG10" s="108"/>
      <c r="CH10" s="108"/>
      <c r="CI10" s="108"/>
      <c r="CJ10" s="108"/>
      <c r="CK10" s="108"/>
      <c r="CL10" s="108"/>
      <c r="CM10" s="108"/>
      <c r="CN10" s="108"/>
      <c r="CO10" s="108"/>
      <c r="CP10" s="108"/>
      <c r="CQ10" s="108"/>
      <c r="CR10" s="108"/>
      <c r="CS10" s="108"/>
      <c r="CT10" s="108"/>
      <c r="CU10" s="108"/>
      <c r="CV10" s="108"/>
      <c r="CW10" s="108"/>
      <c r="CX10" s="108"/>
      <c r="CY10" s="108"/>
      <c r="CZ10" s="108"/>
      <c r="DA10" s="108"/>
      <c r="DB10" s="108"/>
      <c r="DC10" s="108"/>
      <c r="DD10" s="108"/>
      <c r="DE10" s="108"/>
      <c r="DF10" s="108"/>
      <c r="DG10" s="108"/>
      <c r="DH10" s="108"/>
      <c r="DI10" s="108"/>
      <c r="DJ10" s="108"/>
      <c r="DK10" s="108"/>
      <c r="DL10" s="108"/>
      <c r="DM10" s="108"/>
      <c r="DN10" s="108"/>
      <c r="DO10" s="108"/>
      <c r="DP10" s="108"/>
      <c r="DQ10" s="108"/>
      <c r="DR10" s="108"/>
      <c r="DS10" s="108"/>
      <c r="DT10" s="108"/>
      <c r="DU10" s="108"/>
      <c r="DV10" s="108"/>
      <c r="DW10" s="108"/>
      <c r="DX10" s="108"/>
      <c r="DY10" s="108"/>
      <c r="DZ10" s="108"/>
      <c r="EA10" s="108"/>
      <c r="EB10" s="108"/>
      <c r="EC10" s="108"/>
      <c r="ED10" s="108"/>
      <c r="EE10" s="108"/>
      <c r="EF10" s="108"/>
      <c r="EG10" s="108"/>
      <c r="EH10" s="108"/>
      <c r="EI10" s="108"/>
      <c r="EJ10" s="108"/>
      <c r="EK10" s="108"/>
      <c r="EL10" s="108"/>
      <c r="EM10" s="108"/>
      <c r="EN10" s="108"/>
      <c r="EO10" s="108"/>
      <c r="EP10" s="108"/>
      <c r="EQ10" s="108"/>
      <c r="ER10" s="108"/>
      <c r="ES10" s="108"/>
      <c r="ET10" s="108"/>
      <c r="EU10" s="108"/>
      <c r="EV10" s="108"/>
      <c r="EW10" s="108"/>
      <c r="EX10" s="108"/>
      <c r="EY10" s="108"/>
      <c r="EZ10" s="108"/>
      <c r="FA10" s="108"/>
      <c r="FB10" s="108"/>
      <c r="FC10" s="108"/>
      <c r="FD10" s="108"/>
      <c r="FE10" s="108"/>
      <c r="FF10" s="108"/>
      <c r="FG10" s="108"/>
      <c r="FH10" s="108"/>
      <c r="FI10" s="108"/>
      <c r="FJ10" s="108"/>
      <c r="FK10" s="108"/>
      <c r="FL10" s="108"/>
      <c r="FM10" s="108"/>
      <c r="FN10" s="108"/>
      <c r="FO10" s="108"/>
      <c r="FP10" s="108"/>
      <c r="FQ10" s="108"/>
      <c r="FR10" s="108"/>
      <c r="FS10" s="108"/>
      <c r="FT10" s="108"/>
      <c r="FU10" s="108"/>
      <c r="FV10" s="108"/>
      <c r="FW10" s="108"/>
      <c r="FX10" s="108"/>
      <c r="FY10" s="108"/>
      <c r="FZ10" s="108"/>
      <c r="GA10" s="108"/>
      <c r="GB10" s="108"/>
      <c r="GC10" s="108"/>
      <c r="GD10" s="108"/>
      <c r="GE10" s="108"/>
      <c r="GF10" s="108"/>
      <c r="GG10" s="108"/>
      <c r="GH10" s="108"/>
      <c r="GI10" s="108"/>
      <c r="GJ10" s="108"/>
      <c r="GK10" s="108"/>
      <c r="GL10" s="108"/>
      <c r="GM10" s="108"/>
      <c r="GN10" s="108"/>
      <c r="GO10" s="108"/>
      <c r="GP10" s="108"/>
      <c r="GQ10" s="108"/>
      <c r="GR10" s="108"/>
      <c r="GS10" s="108"/>
      <c r="GT10" s="108"/>
      <c r="GU10" s="108"/>
      <c r="GV10" s="108"/>
      <c r="GW10" s="108"/>
      <c r="GX10" s="108"/>
      <c r="GY10" s="108"/>
      <c r="GZ10" s="108"/>
      <c r="HA10" s="108"/>
      <c r="HB10" s="108"/>
      <c r="HC10" s="108"/>
      <c r="HD10" s="108"/>
      <c r="HE10" s="108"/>
      <c r="HF10" s="108"/>
      <c r="HG10" s="108"/>
      <c r="HH10" s="108"/>
      <c r="HI10" s="108"/>
      <c r="HJ10" s="108"/>
      <c r="HK10" s="108"/>
      <c r="HL10" s="108"/>
      <c r="HM10" s="108"/>
      <c r="HN10" s="108"/>
      <c r="HO10" s="108"/>
      <c r="HP10" s="108"/>
      <c r="HQ10" s="108"/>
      <c r="HR10" s="108"/>
      <c r="HS10" s="108"/>
      <c r="HT10" s="108"/>
      <c r="HU10" s="108"/>
      <c r="HV10" s="108"/>
      <c r="HW10" s="108"/>
      <c r="HX10" s="108"/>
      <c r="HY10" s="108"/>
      <c r="HZ10" s="108"/>
      <c r="IA10" s="108"/>
      <c r="IB10" s="108"/>
      <c r="IC10" s="108"/>
      <c r="ID10" s="108"/>
      <c r="IE10" s="108"/>
      <c r="IF10" s="108"/>
      <c r="IG10" s="108"/>
      <c r="IH10" s="108"/>
      <c r="II10" s="108"/>
      <c r="IJ10" s="108"/>
      <c r="IK10" s="108"/>
      <c r="IL10" s="108"/>
      <c r="IM10" s="108"/>
      <c r="IN10" s="108"/>
      <c r="IO10" s="108"/>
      <c r="IP10" s="108"/>
      <c r="IQ10" s="108"/>
      <c r="IR10" s="108"/>
      <c r="IS10" s="108"/>
      <c r="IT10" s="108"/>
      <c r="IU10" s="108"/>
      <c r="IV10" s="108"/>
      <c r="IW10" s="108"/>
    </row>
    <row r="11" s="109" customFormat="true" ht="23.1" hidden="false" customHeight="false" outlineLevel="0" collapsed="false">
      <c r="A11" s="110" t="s">
        <v>279</v>
      </c>
      <c r="B11" s="110" t="s">
        <v>258</v>
      </c>
      <c r="C11" s="110" t="n">
        <v>100</v>
      </c>
      <c r="D11" s="110" t="n">
        <v>13</v>
      </c>
      <c r="E11" s="110" t="n">
        <v>0.18</v>
      </c>
      <c r="F11" s="110" t="n">
        <v>1060</v>
      </c>
      <c r="G11" s="110" t="n">
        <v>380</v>
      </c>
      <c r="H11" s="110" t="n">
        <v>88</v>
      </c>
      <c r="I11" s="110" t="n">
        <v>60</v>
      </c>
      <c r="J11" s="110" t="s">
        <v>280</v>
      </c>
      <c r="K11" s="110" t="s">
        <v>269</v>
      </c>
      <c r="L11" s="111" t="s">
        <v>281</v>
      </c>
      <c r="M11" s="110" t="n">
        <v>150</v>
      </c>
      <c r="N11" s="112" t="s">
        <v>262</v>
      </c>
      <c r="O11" s="112" t="n">
        <v>0.35</v>
      </c>
      <c r="P11" s="113" t="s">
        <v>263</v>
      </c>
      <c r="Q11" s="113" t="n">
        <v>2.3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08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08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08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08"/>
      <c r="CN11" s="108"/>
      <c r="CO11" s="108"/>
      <c r="CP11" s="108"/>
      <c r="CQ11" s="108"/>
      <c r="CR11" s="108"/>
      <c r="CS11" s="108"/>
      <c r="CT11" s="108"/>
      <c r="CU11" s="108"/>
      <c r="CV11" s="108"/>
      <c r="CW11" s="108"/>
      <c r="CX11" s="108"/>
      <c r="CY11" s="108"/>
      <c r="CZ11" s="108"/>
      <c r="DA11" s="108"/>
      <c r="DB11" s="108"/>
      <c r="DC11" s="108"/>
      <c r="DD11" s="108"/>
      <c r="DE11" s="108"/>
      <c r="DF11" s="108"/>
      <c r="DG11" s="108"/>
      <c r="DH11" s="108"/>
      <c r="DI11" s="108"/>
      <c r="DJ11" s="108"/>
      <c r="DK11" s="108"/>
      <c r="DL11" s="108"/>
      <c r="DM11" s="108"/>
      <c r="DN11" s="108"/>
      <c r="DO11" s="108"/>
      <c r="DP11" s="108"/>
      <c r="DQ11" s="108"/>
      <c r="DR11" s="108"/>
      <c r="DS11" s="108"/>
      <c r="DT11" s="108"/>
      <c r="DU11" s="108"/>
      <c r="DV11" s="108"/>
      <c r="DW11" s="108"/>
      <c r="DX11" s="108"/>
      <c r="DY11" s="108"/>
      <c r="DZ11" s="108"/>
      <c r="EA11" s="108"/>
      <c r="EB11" s="108"/>
      <c r="EC11" s="108"/>
      <c r="ED11" s="108"/>
      <c r="EE11" s="108"/>
      <c r="EF11" s="108"/>
      <c r="EG11" s="108"/>
      <c r="EH11" s="108"/>
      <c r="EI11" s="108"/>
      <c r="EJ11" s="108"/>
      <c r="EK11" s="108"/>
      <c r="EL11" s="108"/>
      <c r="EM11" s="108"/>
      <c r="EN11" s="108"/>
      <c r="EO11" s="108"/>
      <c r="EP11" s="108"/>
      <c r="EQ11" s="108"/>
      <c r="ER11" s="108"/>
      <c r="ES11" s="108"/>
      <c r="ET11" s="108"/>
      <c r="EU11" s="108"/>
      <c r="EV11" s="108"/>
      <c r="EW11" s="108"/>
      <c r="EX11" s="108"/>
      <c r="EY11" s="108"/>
      <c r="EZ11" s="108"/>
      <c r="FA11" s="108"/>
      <c r="FB11" s="108"/>
      <c r="FC11" s="108"/>
      <c r="FD11" s="108"/>
      <c r="FE11" s="108"/>
      <c r="FF11" s="108"/>
      <c r="FG11" s="108"/>
      <c r="FH11" s="108"/>
      <c r="FI11" s="108"/>
      <c r="FJ11" s="108"/>
      <c r="FK11" s="108"/>
      <c r="FL11" s="108"/>
      <c r="FM11" s="108"/>
      <c r="FN11" s="108"/>
      <c r="FO11" s="108"/>
      <c r="FP11" s="108"/>
      <c r="FQ11" s="108"/>
      <c r="FR11" s="108"/>
      <c r="FS11" s="108"/>
      <c r="FT11" s="108"/>
      <c r="FU11" s="108"/>
      <c r="FV11" s="108"/>
      <c r="FW11" s="108"/>
      <c r="FX11" s="108"/>
      <c r="FY11" s="108"/>
      <c r="FZ11" s="108"/>
      <c r="GA11" s="108"/>
      <c r="GB11" s="108"/>
      <c r="GC11" s="108"/>
      <c r="GD11" s="108"/>
      <c r="GE11" s="108"/>
      <c r="GF11" s="108"/>
      <c r="GG11" s="108"/>
      <c r="GH11" s="108"/>
      <c r="GI11" s="108"/>
      <c r="GJ11" s="108"/>
      <c r="GK11" s="108"/>
      <c r="GL11" s="108"/>
      <c r="GM11" s="108"/>
      <c r="GN11" s="108"/>
      <c r="GO11" s="108"/>
      <c r="GP11" s="108"/>
      <c r="GQ11" s="108"/>
      <c r="GR11" s="108"/>
      <c r="GS11" s="108"/>
      <c r="GT11" s="108"/>
      <c r="GU11" s="108"/>
      <c r="GV11" s="108"/>
      <c r="GW11" s="108"/>
      <c r="GX11" s="108"/>
      <c r="GY11" s="108"/>
      <c r="GZ11" s="108"/>
      <c r="HA11" s="108"/>
      <c r="HB11" s="108"/>
      <c r="HC11" s="108"/>
      <c r="HD11" s="108"/>
      <c r="HE11" s="108"/>
      <c r="HF11" s="108"/>
      <c r="HG11" s="108"/>
      <c r="HH11" s="108"/>
      <c r="HI11" s="108"/>
      <c r="HJ11" s="108"/>
      <c r="HK11" s="108"/>
      <c r="HL11" s="108"/>
      <c r="HM11" s="108"/>
      <c r="HN11" s="108"/>
      <c r="HO11" s="108"/>
      <c r="HP11" s="108"/>
      <c r="HQ11" s="108"/>
      <c r="HR11" s="108"/>
      <c r="HS11" s="108"/>
      <c r="HT11" s="108"/>
      <c r="HU11" s="108"/>
      <c r="HV11" s="108"/>
      <c r="HW11" s="108"/>
      <c r="HX11" s="108"/>
      <c r="HY11" s="108"/>
      <c r="HZ11" s="108"/>
      <c r="IA11" s="108"/>
      <c r="IB11" s="108"/>
      <c r="IC11" s="108"/>
      <c r="ID11" s="108"/>
      <c r="IE11" s="108"/>
      <c r="IF11" s="108"/>
      <c r="IG11" s="108"/>
      <c r="IH11" s="108"/>
      <c r="II11" s="108"/>
      <c r="IJ11" s="108"/>
      <c r="IK11" s="108"/>
      <c r="IL11" s="108"/>
      <c r="IM11" s="108"/>
      <c r="IN11" s="108"/>
      <c r="IO11" s="108"/>
      <c r="IP11" s="108"/>
      <c r="IQ11" s="108"/>
      <c r="IR11" s="108"/>
      <c r="IS11" s="108"/>
      <c r="IT11" s="108"/>
      <c r="IU11" s="108"/>
      <c r="IV11" s="108"/>
      <c r="IW11" s="108"/>
    </row>
    <row r="12" s="109" customFormat="true" ht="23.1" hidden="false" customHeight="false" outlineLevel="0" collapsed="false">
      <c r="A12" s="110" t="s">
        <v>282</v>
      </c>
      <c r="B12" s="110" t="s">
        <v>283</v>
      </c>
      <c r="C12" s="110" t="n">
        <v>50</v>
      </c>
      <c r="D12" s="110" t="n">
        <v>5.5</v>
      </c>
      <c r="E12" s="110" t="s">
        <v>18</v>
      </c>
      <c r="F12" s="110" t="n">
        <v>80</v>
      </c>
      <c r="G12" s="110" t="n">
        <v>15</v>
      </c>
      <c r="H12" s="110" t="n">
        <v>25</v>
      </c>
      <c r="I12" s="110" t="n">
        <v>520</v>
      </c>
      <c r="J12" s="110" t="s">
        <v>284</v>
      </c>
      <c r="K12" s="110" t="s">
        <v>285</v>
      </c>
      <c r="L12" s="111" t="s">
        <v>286</v>
      </c>
      <c r="M12" s="110" t="n">
        <v>200</v>
      </c>
      <c r="N12" s="112" t="s">
        <v>287</v>
      </c>
      <c r="O12" s="112" t="n">
        <v>0.85</v>
      </c>
      <c r="P12" s="113" t="s">
        <v>288</v>
      </c>
      <c r="Q12" s="113" t="n">
        <v>2.3</v>
      </c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08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08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08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08"/>
      <c r="CB12" s="108"/>
      <c r="CC12" s="108"/>
      <c r="CD12" s="108"/>
      <c r="CE12" s="108"/>
      <c r="CF12" s="108"/>
      <c r="CG12" s="108"/>
      <c r="CH12" s="108"/>
      <c r="CI12" s="108"/>
      <c r="CJ12" s="108"/>
      <c r="CK12" s="108"/>
      <c r="CL12" s="108"/>
      <c r="CM12" s="108"/>
      <c r="CN12" s="108"/>
      <c r="CO12" s="108"/>
      <c r="CP12" s="108"/>
      <c r="CQ12" s="108"/>
      <c r="CR12" s="108"/>
      <c r="CS12" s="108"/>
      <c r="CT12" s="108"/>
      <c r="CU12" s="108"/>
      <c r="CV12" s="108"/>
      <c r="CW12" s="108"/>
      <c r="CX12" s="108"/>
      <c r="CY12" s="108"/>
      <c r="CZ12" s="108"/>
      <c r="DA12" s="108"/>
      <c r="DB12" s="108"/>
      <c r="DC12" s="108"/>
      <c r="DD12" s="108"/>
      <c r="DE12" s="108"/>
      <c r="DF12" s="108"/>
      <c r="DG12" s="108"/>
      <c r="DH12" s="108"/>
      <c r="DI12" s="108"/>
      <c r="DJ12" s="108"/>
      <c r="DK12" s="108"/>
      <c r="DL12" s="108"/>
      <c r="DM12" s="108"/>
      <c r="DN12" s="108"/>
      <c r="DO12" s="108"/>
      <c r="DP12" s="108"/>
      <c r="DQ12" s="108"/>
      <c r="DR12" s="108"/>
      <c r="DS12" s="108"/>
      <c r="DT12" s="108"/>
      <c r="DU12" s="108"/>
      <c r="DV12" s="108"/>
      <c r="DW12" s="108"/>
      <c r="DX12" s="108"/>
      <c r="DY12" s="108"/>
      <c r="DZ12" s="108"/>
      <c r="EA12" s="108"/>
      <c r="EB12" s="108"/>
      <c r="EC12" s="108"/>
      <c r="ED12" s="108"/>
      <c r="EE12" s="108"/>
      <c r="EF12" s="108"/>
      <c r="EG12" s="108"/>
      <c r="EH12" s="108"/>
      <c r="EI12" s="108"/>
      <c r="EJ12" s="108"/>
      <c r="EK12" s="108"/>
      <c r="EL12" s="108"/>
      <c r="EM12" s="108"/>
      <c r="EN12" s="108"/>
      <c r="EO12" s="108"/>
      <c r="EP12" s="108"/>
      <c r="EQ12" s="108"/>
      <c r="ER12" s="108"/>
      <c r="ES12" s="108"/>
      <c r="ET12" s="108"/>
      <c r="EU12" s="108"/>
      <c r="EV12" s="108"/>
      <c r="EW12" s="108"/>
      <c r="EX12" s="108"/>
      <c r="EY12" s="108"/>
      <c r="EZ12" s="108"/>
      <c r="FA12" s="108"/>
      <c r="FB12" s="108"/>
      <c r="FC12" s="108"/>
      <c r="FD12" s="108"/>
      <c r="FE12" s="108"/>
      <c r="FF12" s="108"/>
      <c r="FG12" s="108"/>
      <c r="FH12" s="108"/>
      <c r="FI12" s="108"/>
      <c r="FJ12" s="108"/>
      <c r="FK12" s="108"/>
      <c r="FL12" s="108"/>
      <c r="FM12" s="108"/>
      <c r="FN12" s="108"/>
      <c r="FO12" s="108"/>
      <c r="FP12" s="108"/>
      <c r="FQ12" s="108"/>
      <c r="FR12" s="108"/>
      <c r="FS12" s="108"/>
      <c r="FT12" s="108"/>
      <c r="FU12" s="108"/>
      <c r="FV12" s="108"/>
      <c r="FW12" s="108"/>
      <c r="FX12" s="108"/>
      <c r="FY12" s="108"/>
      <c r="FZ12" s="108"/>
      <c r="GA12" s="108"/>
      <c r="GB12" s="108"/>
      <c r="GC12" s="108"/>
      <c r="GD12" s="108"/>
      <c r="GE12" s="108"/>
      <c r="GF12" s="108"/>
      <c r="GG12" s="108"/>
      <c r="GH12" s="108"/>
      <c r="GI12" s="108"/>
      <c r="GJ12" s="108"/>
      <c r="GK12" s="108"/>
      <c r="GL12" s="108"/>
      <c r="GM12" s="108"/>
      <c r="GN12" s="108"/>
      <c r="GO12" s="108"/>
      <c r="GP12" s="108"/>
      <c r="GQ12" s="108"/>
      <c r="GR12" s="108"/>
      <c r="GS12" s="108"/>
      <c r="GT12" s="108"/>
      <c r="GU12" s="108"/>
      <c r="GV12" s="108"/>
      <c r="GW12" s="108"/>
      <c r="GX12" s="108"/>
      <c r="GY12" s="108"/>
      <c r="GZ12" s="108"/>
      <c r="HA12" s="108"/>
      <c r="HB12" s="108"/>
      <c r="HC12" s="108"/>
      <c r="HD12" s="108"/>
      <c r="HE12" s="108"/>
      <c r="HF12" s="108"/>
      <c r="HG12" s="108"/>
      <c r="HH12" s="108"/>
      <c r="HI12" s="108"/>
      <c r="HJ12" s="108"/>
      <c r="HK12" s="108"/>
      <c r="HL12" s="108"/>
      <c r="HM12" s="108"/>
      <c r="HN12" s="108"/>
      <c r="HO12" s="108"/>
      <c r="HP12" s="108"/>
      <c r="HQ12" s="108"/>
      <c r="HR12" s="108"/>
      <c r="HS12" s="108"/>
      <c r="HT12" s="108"/>
      <c r="HU12" s="108"/>
      <c r="HV12" s="108"/>
      <c r="HW12" s="108"/>
      <c r="HX12" s="108"/>
      <c r="HY12" s="108"/>
      <c r="HZ12" s="108"/>
      <c r="IA12" s="108"/>
      <c r="IB12" s="108"/>
      <c r="IC12" s="108"/>
      <c r="ID12" s="108"/>
      <c r="IE12" s="108"/>
      <c r="IF12" s="108"/>
      <c r="IG12" s="108"/>
      <c r="IH12" s="108"/>
      <c r="II12" s="108"/>
      <c r="IJ12" s="108"/>
      <c r="IK12" s="108"/>
      <c r="IL12" s="108"/>
      <c r="IM12" s="108"/>
      <c r="IN12" s="108"/>
      <c r="IO12" s="108"/>
      <c r="IP12" s="108"/>
      <c r="IQ12" s="108"/>
      <c r="IR12" s="108"/>
      <c r="IS12" s="108"/>
      <c r="IT12" s="108"/>
      <c r="IU12" s="108"/>
      <c r="IV12" s="108"/>
      <c r="IW12" s="108"/>
    </row>
    <row r="13" s="109" customFormat="true" ht="23.1" hidden="false" customHeight="false" outlineLevel="0" collapsed="false">
      <c r="A13" s="110" t="s">
        <v>289</v>
      </c>
      <c r="B13" s="110" t="s">
        <v>283</v>
      </c>
      <c r="C13" s="110" t="n">
        <v>50</v>
      </c>
      <c r="D13" s="110" t="n">
        <v>2</v>
      </c>
      <c r="E13" s="110" t="s">
        <v>18</v>
      </c>
      <c r="F13" s="110" t="n">
        <v>44</v>
      </c>
      <c r="G13" s="110" t="n">
        <v>9</v>
      </c>
      <c r="H13" s="110" t="n">
        <v>12.5</v>
      </c>
      <c r="I13" s="110" t="n">
        <v>520</v>
      </c>
      <c r="J13" s="110" t="s">
        <v>290</v>
      </c>
      <c r="K13" s="110" t="s">
        <v>285</v>
      </c>
      <c r="L13" s="111" t="s">
        <v>291</v>
      </c>
      <c r="M13" s="110" t="n">
        <v>200</v>
      </c>
      <c r="N13" s="112" t="s">
        <v>287</v>
      </c>
      <c r="O13" s="112" t="n">
        <v>0.85</v>
      </c>
      <c r="P13" s="113" t="s">
        <v>288</v>
      </c>
      <c r="Q13" s="113" t="n">
        <v>2.3</v>
      </c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  <c r="AN13" s="108"/>
      <c r="AO13" s="108"/>
      <c r="AP13" s="108"/>
      <c r="AQ13" s="108"/>
      <c r="AR13" s="108"/>
      <c r="AS13" s="108"/>
      <c r="AT13" s="108"/>
      <c r="AU13" s="108"/>
      <c r="AV13" s="108"/>
      <c r="AW13" s="108"/>
      <c r="AX13" s="108"/>
      <c r="AY13" s="108"/>
      <c r="AZ13" s="108"/>
      <c r="BA13" s="108"/>
      <c r="BB13" s="108"/>
      <c r="BC13" s="108"/>
      <c r="BD13" s="108"/>
      <c r="BE13" s="108"/>
      <c r="BF13" s="108"/>
      <c r="BG13" s="108"/>
      <c r="BH13" s="108"/>
      <c r="BI13" s="108"/>
      <c r="BJ13" s="108"/>
      <c r="BK13" s="108"/>
      <c r="BL13" s="108"/>
      <c r="BM13" s="108"/>
      <c r="BN13" s="108"/>
      <c r="BO13" s="108"/>
      <c r="BP13" s="108"/>
      <c r="BQ13" s="108"/>
      <c r="BR13" s="108"/>
      <c r="BS13" s="108"/>
      <c r="BT13" s="108"/>
      <c r="BU13" s="108"/>
      <c r="BV13" s="108"/>
      <c r="BW13" s="108"/>
      <c r="BX13" s="108"/>
      <c r="BY13" s="108"/>
      <c r="BZ13" s="108"/>
      <c r="CA13" s="108"/>
      <c r="CB13" s="108"/>
      <c r="CC13" s="108"/>
      <c r="CD13" s="108"/>
      <c r="CE13" s="108"/>
      <c r="CF13" s="108"/>
      <c r="CG13" s="108"/>
      <c r="CH13" s="108"/>
      <c r="CI13" s="108"/>
      <c r="CJ13" s="108"/>
      <c r="CK13" s="108"/>
      <c r="CL13" s="108"/>
      <c r="CM13" s="108"/>
      <c r="CN13" s="108"/>
      <c r="CO13" s="108"/>
      <c r="CP13" s="108"/>
      <c r="CQ13" s="108"/>
      <c r="CR13" s="108"/>
      <c r="CS13" s="108"/>
      <c r="CT13" s="108"/>
      <c r="CU13" s="108"/>
      <c r="CV13" s="108"/>
      <c r="CW13" s="108"/>
      <c r="CX13" s="108"/>
      <c r="CY13" s="108"/>
      <c r="CZ13" s="108"/>
      <c r="DA13" s="108"/>
      <c r="DB13" s="108"/>
      <c r="DC13" s="108"/>
      <c r="DD13" s="108"/>
      <c r="DE13" s="108"/>
      <c r="DF13" s="108"/>
      <c r="DG13" s="108"/>
      <c r="DH13" s="108"/>
      <c r="DI13" s="108"/>
      <c r="DJ13" s="108"/>
      <c r="DK13" s="108"/>
      <c r="DL13" s="108"/>
      <c r="DM13" s="108"/>
      <c r="DN13" s="108"/>
      <c r="DO13" s="108"/>
      <c r="DP13" s="108"/>
      <c r="DQ13" s="108"/>
      <c r="DR13" s="108"/>
      <c r="DS13" s="108"/>
      <c r="DT13" s="108"/>
      <c r="DU13" s="108"/>
      <c r="DV13" s="108"/>
      <c r="DW13" s="108"/>
      <c r="DX13" s="108"/>
      <c r="DY13" s="108"/>
      <c r="DZ13" s="108"/>
      <c r="EA13" s="108"/>
      <c r="EB13" s="108"/>
      <c r="EC13" s="108"/>
      <c r="ED13" s="108"/>
      <c r="EE13" s="108"/>
      <c r="EF13" s="108"/>
      <c r="EG13" s="108"/>
      <c r="EH13" s="108"/>
      <c r="EI13" s="108"/>
      <c r="EJ13" s="108"/>
      <c r="EK13" s="108"/>
      <c r="EL13" s="108"/>
      <c r="EM13" s="108"/>
      <c r="EN13" s="108"/>
      <c r="EO13" s="108"/>
      <c r="EP13" s="108"/>
      <c r="EQ13" s="108"/>
      <c r="ER13" s="108"/>
      <c r="ES13" s="108"/>
      <c r="ET13" s="108"/>
      <c r="EU13" s="108"/>
      <c r="EV13" s="108"/>
      <c r="EW13" s="108"/>
      <c r="EX13" s="108"/>
      <c r="EY13" s="108"/>
      <c r="EZ13" s="108"/>
      <c r="FA13" s="108"/>
      <c r="FB13" s="108"/>
      <c r="FC13" s="108"/>
      <c r="FD13" s="108"/>
      <c r="FE13" s="108"/>
      <c r="FF13" s="108"/>
      <c r="FG13" s="108"/>
      <c r="FH13" s="108"/>
      <c r="FI13" s="108"/>
      <c r="FJ13" s="108"/>
      <c r="FK13" s="108"/>
      <c r="FL13" s="108"/>
      <c r="FM13" s="108"/>
      <c r="FN13" s="108"/>
      <c r="FO13" s="108"/>
      <c r="FP13" s="108"/>
      <c r="FQ13" s="108"/>
      <c r="FR13" s="108"/>
      <c r="FS13" s="108"/>
      <c r="FT13" s="108"/>
      <c r="FU13" s="108"/>
      <c r="FV13" s="108"/>
      <c r="FW13" s="108"/>
      <c r="FX13" s="108"/>
      <c r="FY13" s="108"/>
      <c r="FZ13" s="108"/>
      <c r="GA13" s="108"/>
      <c r="GB13" s="108"/>
      <c r="GC13" s="108"/>
      <c r="GD13" s="108"/>
      <c r="GE13" s="108"/>
      <c r="GF13" s="108"/>
      <c r="GG13" s="108"/>
      <c r="GH13" s="108"/>
      <c r="GI13" s="108"/>
      <c r="GJ13" s="108"/>
      <c r="GK13" s="108"/>
      <c r="GL13" s="108"/>
      <c r="GM13" s="108"/>
      <c r="GN13" s="108"/>
      <c r="GO13" s="108"/>
      <c r="GP13" s="108"/>
      <c r="GQ13" s="108"/>
      <c r="GR13" s="108"/>
      <c r="GS13" s="108"/>
      <c r="GT13" s="108"/>
      <c r="GU13" s="108"/>
      <c r="GV13" s="108"/>
      <c r="GW13" s="108"/>
      <c r="GX13" s="108"/>
      <c r="GY13" s="108"/>
      <c r="GZ13" s="108"/>
      <c r="HA13" s="108"/>
      <c r="HB13" s="108"/>
      <c r="HC13" s="108"/>
      <c r="HD13" s="108"/>
      <c r="HE13" s="108"/>
      <c r="HF13" s="108"/>
      <c r="HG13" s="108"/>
      <c r="HH13" s="108"/>
      <c r="HI13" s="108"/>
      <c r="HJ13" s="108"/>
      <c r="HK13" s="108"/>
      <c r="HL13" s="108"/>
      <c r="HM13" s="108"/>
      <c r="HN13" s="108"/>
      <c r="HO13" s="108"/>
      <c r="HP13" s="108"/>
      <c r="HQ13" s="108"/>
      <c r="HR13" s="108"/>
      <c r="HS13" s="108"/>
      <c r="HT13" s="108"/>
      <c r="HU13" s="108"/>
      <c r="HV13" s="108"/>
      <c r="HW13" s="108"/>
      <c r="HX13" s="108"/>
      <c r="HY13" s="108"/>
      <c r="HZ13" s="108"/>
      <c r="IA13" s="108"/>
      <c r="IB13" s="108"/>
      <c r="IC13" s="108"/>
      <c r="ID13" s="108"/>
      <c r="IE13" s="108"/>
      <c r="IF13" s="108"/>
      <c r="IG13" s="108"/>
      <c r="IH13" s="108"/>
      <c r="II13" s="108"/>
      <c r="IJ13" s="108"/>
      <c r="IK13" s="108"/>
      <c r="IL13" s="108"/>
      <c r="IM13" s="108"/>
      <c r="IN13" s="108"/>
      <c r="IO13" s="108"/>
      <c r="IP13" s="108"/>
      <c r="IQ13" s="108"/>
      <c r="IR13" s="108"/>
      <c r="IS13" s="108"/>
      <c r="IT13" s="108"/>
      <c r="IU13" s="108"/>
      <c r="IV13" s="108"/>
      <c r="IW13" s="108"/>
    </row>
    <row r="14" s="109" customFormat="true" ht="23.1" hidden="false" customHeight="false" outlineLevel="0" collapsed="false">
      <c r="A14" s="110" t="s">
        <v>292</v>
      </c>
      <c r="B14" s="110" t="s">
        <v>293</v>
      </c>
      <c r="C14" s="110" t="n">
        <v>65</v>
      </c>
      <c r="D14" s="110" t="n">
        <v>40</v>
      </c>
      <c r="E14" s="110" t="s">
        <v>18</v>
      </c>
      <c r="F14" s="110" t="n">
        <v>120</v>
      </c>
      <c r="G14" s="110" t="n">
        <v>25</v>
      </c>
      <c r="H14" s="110" t="n">
        <v>250</v>
      </c>
      <c r="I14" s="110" t="n">
        <v>600</v>
      </c>
      <c r="J14" s="110" t="s">
        <v>294</v>
      </c>
      <c r="K14" s="110" t="s">
        <v>269</v>
      </c>
      <c r="L14" s="111" t="s">
        <v>295</v>
      </c>
      <c r="M14" s="110" t="n">
        <v>200</v>
      </c>
      <c r="N14" s="112" t="s">
        <v>296</v>
      </c>
      <c r="O14" s="112" t="n">
        <v>0.85</v>
      </c>
      <c r="P14" s="113" t="s">
        <v>288</v>
      </c>
      <c r="Q14" s="113" t="n">
        <v>2.3</v>
      </c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08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08"/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08"/>
      <c r="CB14" s="108"/>
      <c r="CC14" s="108"/>
      <c r="CD14" s="108"/>
      <c r="CE14" s="108"/>
      <c r="CF14" s="108"/>
      <c r="CG14" s="108"/>
      <c r="CH14" s="108"/>
      <c r="CI14" s="108"/>
      <c r="CJ14" s="108"/>
      <c r="CK14" s="108"/>
      <c r="CL14" s="108"/>
      <c r="CM14" s="108"/>
      <c r="CN14" s="108"/>
      <c r="CO14" s="108"/>
      <c r="CP14" s="108"/>
      <c r="CQ14" s="108"/>
      <c r="CR14" s="108"/>
      <c r="CS14" s="108"/>
      <c r="CT14" s="108"/>
      <c r="CU14" s="108"/>
      <c r="CV14" s="108"/>
      <c r="CW14" s="108"/>
      <c r="CX14" s="108"/>
      <c r="CY14" s="108"/>
      <c r="CZ14" s="108"/>
      <c r="DA14" s="108"/>
      <c r="DB14" s="108"/>
      <c r="DC14" s="108"/>
      <c r="DD14" s="108"/>
      <c r="DE14" s="108"/>
      <c r="DF14" s="108"/>
      <c r="DG14" s="108"/>
      <c r="DH14" s="108"/>
      <c r="DI14" s="108"/>
      <c r="DJ14" s="108"/>
      <c r="DK14" s="108"/>
      <c r="DL14" s="108"/>
      <c r="DM14" s="108"/>
      <c r="DN14" s="108"/>
      <c r="DO14" s="108"/>
      <c r="DP14" s="108"/>
      <c r="DQ14" s="108"/>
      <c r="DR14" s="108"/>
      <c r="DS14" s="108"/>
      <c r="DT14" s="108"/>
      <c r="DU14" s="108"/>
      <c r="DV14" s="108"/>
      <c r="DW14" s="108"/>
      <c r="DX14" s="108"/>
      <c r="DY14" s="108"/>
      <c r="DZ14" s="108"/>
      <c r="EA14" s="108"/>
      <c r="EB14" s="108"/>
      <c r="EC14" s="108"/>
      <c r="ED14" s="108"/>
      <c r="EE14" s="108"/>
      <c r="EF14" s="108"/>
      <c r="EG14" s="108"/>
      <c r="EH14" s="108"/>
      <c r="EI14" s="108"/>
      <c r="EJ14" s="108"/>
      <c r="EK14" s="108"/>
      <c r="EL14" s="108"/>
      <c r="EM14" s="108"/>
      <c r="EN14" s="108"/>
      <c r="EO14" s="108"/>
      <c r="EP14" s="108"/>
      <c r="EQ14" s="108"/>
      <c r="ER14" s="108"/>
      <c r="ES14" s="108"/>
      <c r="ET14" s="108"/>
      <c r="EU14" s="108"/>
      <c r="EV14" s="108"/>
      <c r="EW14" s="108"/>
      <c r="EX14" s="108"/>
      <c r="EY14" s="108"/>
      <c r="EZ14" s="108"/>
      <c r="FA14" s="108"/>
      <c r="FB14" s="108"/>
      <c r="FC14" s="108"/>
      <c r="FD14" s="108"/>
      <c r="FE14" s="108"/>
      <c r="FF14" s="108"/>
      <c r="FG14" s="108"/>
      <c r="FH14" s="108"/>
      <c r="FI14" s="108"/>
      <c r="FJ14" s="108"/>
      <c r="FK14" s="108"/>
      <c r="FL14" s="108"/>
      <c r="FM14" s="108"/>
      <c r="FN14" s="108"/>
      <c r="FO14" s="108"/>
      <c r="FP14" s="108"/>
      <c r="FQ14" s="108"/>
      <c r="FR14" s="108"/>
      <c r="FS14" s="108"/>
      <c r="FT14" s="108"/>
      <c r="FU14" s="108"/>
      <c r="FV14" s="108"/>
      <c r="FW14" s="108"/>
      <c r="FX14" s="108"/>
      <c r="FY14" s="108"/>
      <c r="FZ14" s="108"/>
      <c r="GA14" s="108"/>
      <c r="GB14" s="108"/>
      <c r="GC14" s="108"/>
      <c r="GD14" s="108"/>
      <c r="GE14" s="108"/>
      <c r="GF14" s="108"/>
      <c r="GG14" s="108"/>
      <c r="GH14" s="108"/>
      <c r="GI14" s="108"/>
      <c r="GJ14" s="108"/>
      <c r="GK14" s="108"/>
      <c r="GL14" s="108"/>
      <c r="GM14" s="108"/>
      <c r="GN14" s="108"/>
      <c r="GO14" s="108"/>
      <c r="GP14" s="108"/>
      <c r="GQ14" s="108"/>
      <c r="GR14" s="108"/>
      <c r="GS14" s="108"/>
      <c r="GT14" s="108"/>
      <c r="GU14" s="108"/>
      <c r="GV14" s="108"/>
      <c r="GW14" s="108"/>
      <c r="GX14" s="108"/>
      <c r="GY14" s="108"/>
      <c r="GZ14" s="108"/>
      <c r="HA14" s="108"/>
      <c r="HB14" s="108"/>
      <c r="HC14" s="108"/>
      <c r="HD14" s="108"/>
      <c r="HE14" s="108"/>
      <c r="HF14" s="108"/>
      <c r="HG14" s="108"/>
      <c r="HH14" s="108"/>
      <c r="HI14" s="108"/>
      <c r="HJ14" s="108"/>
      <c r="HK14" s="108"/>
      <c r="HL14" s="108"/>
      <c r="HM14" s="108"/>
      <c r="HN14" s="108"/>
      <c r="HO14" s="108"/>
      <c r="HP14" s="108"/>
      <c r="HQ14" s="108"/>
      <c r="HR14" s="108"/>
      <c r="HS14" s="108"/>
      <c r="HT14" s="108"/>
      <c r="HU14" s="108"/>
      <c r="HV14" s="108"/>
      <c r="HW14" s="108"/>
      <c r="HX14" s="108"/>
      <c r="HY14" s="108"/>
      <c r="HZ14" s="108"/>
      <c r="IA14" s="108"/>
      <c r="IB14" s="108"/>
      <c r="IC14" s="108"/>
      <c r="ID14" s="108"/>
      <c r="IE14" s="108"/>
      <c r="IF14" s="108"/>
      <c r="IG14" s="108"/>
      <c r="IH14" s="108"/>
      <c r="II14" s="108"/>
      <c r="IJ14" s="108"/>
      <c r="IK14" s="108"/>
      <c r="IL14" s="108"/>
      <c r="IM14" s="108"/>
      <c r="IN14" s="108"/>
      <c r="IO14" s="108"/>
      <c r="IP14" s="108"/>
      <c r="IQ14" s="108"/>
      <c r="IR14" s="108"/>
      <c r="IS14" s="108"/>
      <c r="IT14" s="108"/>
      <c r="IU14" s="108"/>
      <c r="IV14" s="108"/>
      <c r="IW14" s="108"/>
    </row>
    <row r="15" s="109" customFormat="true" ht="44.75" hidden="false" customHeight="false" outlineLevel="0" collapsed="false">
      <c r="A15" s="110" t="s">
        <v>297</v>
      </c>
      <c r="B15" s="110" t="s">
        <v>298</v>
      </c>
      <c r="C15" s="110" t="n">
        <v>500</v>
      </c>
      <c r="D15" s="110" t="n">
        <v>55</v>
      </c>
      <c r="E15" s="110" t="n">
        <v>0.065</v>
      </c>
      <c r="F15" s="110" t="n">
        <v>4900</v>
      </c>
      <c r="G15" s="110" t="n">
        <v>1200</v>
      </c>
      <c r="H15" s="110" t="n">
        <v>500</v>
      </c>
      <c r="I15" s="110" t="n">
        <v>0</v>
      </c>
      <c r="J15" s="110" t="s">
        <v>299</v>
      </c>
      <c r="K15" s="110" t="s">
        <v>300</v>
      </c>
      <c r="L15" s="111" t="s">
        <v>301</v>
      </c>
      <c r="M15" s="110" t="n">
        <v>150</v>
      </c>
      <c r="N15" s="112" t="s">
        <v>262</v>
      </c>
      <c r="O15" s="112" t="n">
        <v>0.35</v>
      </c>
      <c r="P15" s="113" t="s">
        <v>263</v>
      </c>
      <c r="Q15" s="113" t="n">
        <v>2.3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08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08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08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08"/>
      <c r="CB15" s="108"/>
      <c r="CC15" s="108"/>
      <c r="CD15" s="108"/>
      <c r="CE15" s="108"/>
      <c r="CF15" s="108"/>
      <c r="CG15" s="108"/>
      <c r="CH15" s="108"/>
      <c r="CI15" s="108"/>
      <c r="CJ15" s="108"/>
      <c r="CK15" s="108"/>
      <c r="CL15" s="108"/>
      <c r="CM15" s="108"/>
      <c r="CN15" s="108"/>
      <c r="CO15" s="108"/>
      <c r="CP15" s="108"/>
      <c r="CQ15" s="108"/>
      <c r="CR15" s="108"/>
      <c r="CS15" s="108"/>
      <c r="CT15" s="108"/>
      <c r="CU15" s="108"/>
      <c r="CV15" s="108"/>
      <c r="CW15" s="108"/>
      <c r="CX15" s="108"/>
      <c r="CY15" s="108"/>
      <c r="CZ15" s="108"/>
      <c r="DA15" s="108"/>
      <c r="DB15" s="108"/>
      <c r="DC15" s="108"/>
      <c r="DD15" s="108"/>
      <c r="DE15" s="108"/>
      <c r="DF15" s="108"/>
      <c r="DG15" s="108"/>
      <c r="DH15" s="108"/>
      <c r="DI15" s="108"/>
      <c r="DJ15" s="108"/>
      <c r="DK15" s="108"/>
      <c r="DL15" s="108"/>
      <c r="DM15" s="108"/>
      <c r="DN15" s="108"/>
      <c r="DO15" s="108"/>
      <c r="DP15" s="108"/>
      <c r="DQ15" s="108"/>
      <c r="DR15" s="108"/>
      <c r="DS15" s="108"/>
      <c r="DT15" s="108"/>
      <c r="DU15" s="108"/>
      <c r="DV15" s="108"/>
      <c r="DW15" s="108"/>
      <c r="DX15" s="108"/>
      <c r="DY15" s="108"/>
      <c r="DZ15" s="108"/>
      <c r="EA15" s="108"/>
      <c r="EB15" s="108"/>
      <c r="EC15" s="108"/>
      <c r="ED15" s="108"/>
      <c r="EE15" s="108"/>
      <c r="EF15" s="108"/>
      <c r="EG15" s="108"/>
      <c r="EH15" s="108"/>
      <c r="EI15" s="108"/>
      <c r="EJ15" s="108"/>
      <c r="EK15" s="108"/>
      <c r="EL15" s="108"/>
      <c r="EM15" s="108"/>
      <c r="EN15" s="108"/>
      <c r="EO15" s="108"/>
      <c r="EP15" s="108"/>
      <c r="EQ15" s="108"/>
      <c r="ER15" s="108"/>
      <c r="ES15" s="108"/>
      <c r="ET15" s="108"/>
      <c r="EU15" s="108"/>
      <c r="EV15" s="108"/>
      <c r="EW15" s="108"/>
      <c r="EX15" s="108"/>
      <c r="EY15" s="108"/>
      <c r="EZ15" s="108"/>
      <c r="FA15" s="108"/>
      <c r="FB15" s="108"/>
      <c r="FC15" s="108"/>
      <c r="FD15" s="108"/>
      <c r="FE15" s="108"/>
      <c r="FF15" s="108"/>
      <c r="FG15" s="108"/>
      <c r="FH15" s="108"/>
      <c r="FI15" s="108"/>
      <c r="FJ15" s="108"/>
      <c r="FK15" s="108"/>
      <c r="FL15" s="108"/>
      <c r="FM15" s="108"/>
      <c r="FN15" s="108"/>
      <c r="FO15" s="108"/>
      <c r="FP15" s="108"/>
      <c r="FQ15" s="108"/>
      <c r="FR15" s="108"/>
      <c r="FS15" s="108"/>
      <c r="FT15" s="108"/>
      <c r="FU15" s="108"/>
      <c r="FV15" s="108"/>
      <c r="FW15" s="108"/>
      <c r="FX15" s="108"/>
      <c r="FY15" s="108"/>
      <c r="FZ15" s="108"/>
      <c r="GA15" s="108"/>
      <c r="GB15" s="108"/>
      <c r="GC15" s="108"/>
      <c r="GD15" s="108"/>
      <c r="GE15" s="108"/>
      <c r="GF15" s="108"/>
      <c r="GG15" s="108"/>
      <c r="GH15" s="108"/>
      <c r="GI15" s="108"/>
      <c r="GJ15" s="108"/>
      <c r="GK15" s="108"/>
      <c r="GL15" s="108"/>
      <c r="GM15" s="108"/>
      <c r="GN15" s="108"/>
      <c r="GO15" s="108"/>
      <c r="GP15" s="108"/>
      <c r="GQ15" s="108"/>
      <c r="GR15" s="108"/>
      <c r="GS15" s="108"/>
      <c r="GT15" s="108"/>
      <c r="GU15" s="108"/>
      <c r="GV15" s="108"/>
      <c r="GW15" s="108"/>
      <c r="GX15" s="108"/>
      <c r="GY15" s="108"/>
      <c r="GZ15" s="108"/>
      <c r="HA15" s="108"/>
      <c r="HB15" s="108"/>
      <c r="HC15" s="108"/>
      <c r="HD15" s="108"/>
      <c r="HE15" s="108"/>
      <c r="HF15" s="108"/>
      <c r="HG15" s="108"/>
      <c r="HH15" s="108"/>
      <c r="HI15" s="108"/>
      <c r="HJ15" s="108"/>
      <c r="HK15" s="108"/>
      <c r="HL15" s="108"/>
      <c r="HM15" s="108"/>
      <c r="HN15" s="108"/>
      <c r="HO15" s="108"/>
      <c r="HP15" s="108"/>
      <c r="HQ15" s="108"/>
      <c r="HR15" s="108"/>
      <c r="HS15" s="108"/>
      <c r="HT15" s="108"/>
      <c r="HU15" s="108"/>
      <c r="HV15" s="108"/>
      <c r="HW15" s="108"/>
      <c r="HX15" s="108"/>
      <c r="HY15" s="108"/>
      <c r="HZ15" s="108"/>
      <c r="IA15" s="108"/>
      <c r="IB15" s="108"/>
      <c r="IC15" s="108"/>
      <c r="ID15" s="108"/>
      <c r="IE15" s="108"/>
      <c r="IF15" s="108"/>
      <c r="IG15" s="108"/>
      <c r="IH15" s="108"/>
      <c r="II15" s="108"/>
      <c r="IJ15" s="108"/>
      <c r="IK15" s="108"/>
      <c r="IL15" s="108"/>
      <c r="IM15" s="108"/>
      <c r="IN15" s="108"/>
      <c r="IO15" s="108"/>
      <c r="IP15" s="108"/>
      <c r="IQ15" s="108"/>
      <c r="IR15" s="108"/>
      <c r="IS15" s="108"/>
      <c r="IT15" s="108"/>
      <c r="IU15" s="108"/>
      <c r="IV15" s="108"/>
      <c r="IW15" s="108"/>
    </row>
    <row r="16" s="109" customFormat="true" ht="23.1" hidden="false" customHeight="false" outlineLevel="0" collapsed="false">
      <c r="A16" s="110" t="s">
        <v>302</v>
      </c>
      <c r="B16" s="110" t="s">
        <v>258</v>
      </c>
      <c r="C16" s="110" t="n">
        <v>200</v>
      </c>
      <c r="D16" s="110" t="n">
        <v>7</v>
      </c>
      <c r="E16" s="110" t="n">
        <v>0.5</v>
      </c>
      <c r="F16" s="110" t="n">
        <v>450</v>
      </c>
      <c r="G16" s="110" t="n">
        <v>200</v>
      </c>
      <c r="H16" s="110" t="n">
        <v>40</v>
      </c>
      <c r="I16" s="110" t="n">
        <v>70</v>
      </c>
      <c r="J16" s="110" t="s">
        <v>303</v>
      </c>
      <c r="K16" s="110" t="s">
        <v>273</v>
      </c>
      <c r="L16" s="111" t="s">
        <v>304</v>
      </c>
      <c r="M16" s="110" t="n">
        <v>150</v>
      </c>
      <c r="N16" s="112" t="s">
        <v>305</v>
      </c>
      <c r="O16" s="112" t="n">
        <v>0.35</v>
      </c>
      <c r="P16" s="113" t="s">
        <v>263</v>
      </c>
      <c r="Q16" s="113" t="n">
        <v>2.3</v>
      </c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08"/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08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08"/>
      <c r="CB16" s="108"/>
      <c r="CC16" s="108"/>
      <c r="CD16" s="108"/>
      <c r="CE16" s="108"/>
      <c r="CF16" s="108"/>
      <c r="CG16" s="108"/>
      <c r="CH16" s="108"/>
      <c r="CI16" s="108"/>
      <c r="CJ16" s="108"/>
      <c r="CK16" s="108"/>
      <c r="CL16" s="108"/>
      <c r="CM16" s="108"/>
      <c r="CN16" s="108"/>
      <c r="CO16" s="108"/>
      <c r="CP16" s="108"/>
      <c r="CQ16" s="108"/>
      <c r="CR16" s="108"/>
      <c r="CS16" s="108"/>
      <c r="CT16" s="108"/>
      <c r="CU16" s="108"/>
      <c r="CV16" s="108"/>
      <c r="CW16" s="108"/>
      <c r="CX16" s="108"/>
      <c r="CY16" s="108"/>
      <c r="CZ16" s="108"/>
      <c r="DA16" s="108"/>
      <c r="DB16" s="108"/>
      <c r="DC16" s="108"/>
      <c r="DD16" s="108"/>
      <c r="DE16" s="108"/>
      <c r="DF16" s="108"/>
      <c r="DG16" s="108"/>
      <c r="DH16" s="108"/>
      <c r="DI16" s="108"/>
      <c r="DJ16" s="108"/>
      <c r="DK16" s="108"/>
      <c r="DL16" s="108"/>
      <c r="DM16" s="108"/>
      <c r="DN16" s="108"/>
      <c r="DO16" s="108"/>
      <c r="DP16" s="108"/>
      <c r="DQ16" s="108"/>
      <c r="DR16" s="108"/>
      <c r="DS16" s="108"/>
      <c r="DT16" s="108"/>
      <c r="DU16" s="108"/>
      <c r="DV16" s="108"/>
      <c r="DW16" s="108"/>
      <c r="DX16" s="108"/>
      <c r="DY16" s="108"/>
      <c r="DZ16" s="108"/>
      <c r="EA16" s="108"/>
      <c r="EB16" s="108"/>
      <c r="EC16" s="108"/>
      <c r="ED16" s="108"/>
      <c r="EE16" s="108"/>
      <c r="EF16" s="108"/>
      <c r="EG16" s="108"/>
      <c r="EH16" s="108"/>
      <c r="EI16" s="108"/>
      <c r="EJ16" s="108"/>
      <c r="EK16" s="108"/>
      <c r="EL16" s="108"/>
      <c r="EM16" s="108"/>
      <c r="EN16" s="108"/>
      <c r="EO16" s="108"/>
      <c r="EP16" s="108"/>
      <c r="EQ16" s="108"/>
      <c r="ER16" s="108"/>
      <c r="ES16" s="108"/>
      <c r="ET16" s="108"/>
      <c r="EU16" s="108"/>
      <c r="EV16" s="108"/>
      <c r="EW16" s="108"/>
      <c r="EX16" s="108"/>
      <c r="EY16" s="108"/>
      <c r="EZ16" s="108"/>
      <c r="FA16" s="108"/>
      <c r="FB16" s="108"/>
      <c r="FC16" s="108"/>
      <c r="FD16" s="108"/>
      <c r="FE16" s="108"/>
      <c r="FF16" s="108"/>
      <c r="FG16" s="108"/>
      <c r="FH16" s="108"/>
      <c r="FI16" s="108"/>
      <c r="FJ16" s="108"/>
      <c r="FK16" s="108"/>
      <c r="FL16" s="108"/>
      <c r="FM16" s="108"/>
      <c r="FN16" s="108"/>
      <c r="FO16" s="108"/>
      <c r="FP16" s="108"/>
      <c r="FQ16" s="108"/>
      <c r="FR16" s="108"/>
      <c r="FS16" s="108"/>
      <c r="FT16" s="108"/>
      <c r="FU16" s="108"/>
      <c r="FV16" s="108"/>
      <c r="FW16" s="108"/>
      <c r="FX16" s="108"/>
      <c r="FY16" s="108"/>
      <c r="FZ16" s="108"/>
      <c r="GA16" s="108"/>
      <c r="GB16" s="108"/>
      <c r="GC16" s="108"/>
      <c r="GD16" s="108"/>
      <c r="GE16" s="108"/>
      <c r="GF16" s="108"/>
      <c r="GG16" s="108"/>
      <c r="GH16" s="108"/>
      <c r="GI16" s="108"/>
      <c r="GJ16" s="108"/>
      <c r="GK16" s="108"/>
      <c r="GL16" s="108"/>
      <c r="GM16" s="108"/>
      <c r="GN16" s="108"/>
      <c r="GO16" s="108"/>
      <c r="GP16" s="108"/>
      <c r="GQ16" s="108"/>
      <c r="GR16" s="108"/>
      <c r="GS16" s="108"/>
      <c r="GT16" s="108"/>
      <c r="GU16" s="108"/>
      <c r="GV16" s="108"/>
      <c r="GW16" s="108"/>
      <c r="GX16" s="108"/>
      <c r="GY16" s="108"/>
      <c r="GZ16" s="108"/>
      <c r="HA16" s="108"/>
      <c r="HB16" s="108"/>
      <c r="HC16" s="108"/>
      <c r="HD16" s="108"/>
      <c r="HE16" s="108"/>
      <c r="HF16" s="108"/>
      <c r="HG16" s="108"/>
      <c r="HH16" s="108"/>
      <c r="HI16" s="108"/>
      <c r="HJ16" s="108"/>
      <c r="HK16" s="108"/>
      <c r="HL16" s="108"/>
      <c r="HM16" s="108"/>
      <c r="HN16" s="108"/>
      <c r="HO16" s="108"/>
      <c r="HP16" s="108"/>
      <c r="HQ16" s="108"/>
      <c r="HR16" s="108"/>
      <c r="HS16" s="108"/>
      <c r="HT16" s="108"/>
      <c r="HU16" s="108"/>
      <c r="HV16" s="108"/>
      <c r="HW16" s="108"/>
      <c r="HX16" s="108"/>
      <c r="HY16" s="108"/>
      <c r="HZ16" s="108"/>
      <c r="IA16" s="108"/>
      <c r="IB16" s="108"/>
      <c r="IC16" s="108"/>
      <c r="ID16" s="108"/>
      <c r="IE16" s="108"/>
      <c r="IF16" s="108"/>
      <c r="IG16" s="108"/>
      <c r="IH16" s="108"/>
      <c r="II16" s="108"/>
      <c r="IJ16" s="108"/>
      <c r="IK16" s="108"/>
      <c r="IL16" s="108"/>
      <c r="IM16" s="108"/>
      <c r="IN16" s="108"/>
      <c r="IO16" s="108"/>
      <c r="IP16" s="108"/>
      <c r="IQ16" s="108"/>
      <c r="IR16" s="108"/>
      <c r="IS16" s="108"/>
      <c r="IT16" s="108"/>
      <c r="IU16" s="108"/>
      <c r="IV16" s="108"/>
      <c r="IW16" s="108"/>
    </row>
    <row r="17" s="109" customFormat="true" ht="55.5" hidden="false" customHeight="false" outlineLevel="0" collapsed="false">
      <c r="A17" s="110" t="s">
        <v>306</v>
      </c>
      <c r="B17" s="110" t="s">
        <v>307</v>
      </c>
      <c r="C17" s="110" t="n">
        <v>65</v>
      </c>
      <c r="D17" s="110" t="n">
        <v>20</v>
      </c>
      <c r="E17" s="110" t="s">
        <v>18</v>
      </c>
      <c r="F17" s="110" t="n">
        <v>200</v>
      </c>
      <c r="G17" s="110" t="n">
        <v>18</v>
      </c>
      <c r="H17" s="110" t="n">
        <v>300</v>
      </c>
      <c r="I17" s="110" t="n">
        <v>1000</v>
      </c>
      <c r="J17" s="110" t="s">
        <v>308</v>
      </c>
      <c r="K17" s="110" t="s">
        <v>269</v>
      </c>
      <c r="L17" s="111" t="s">
        <v>309</v>
      </c>
      <c r="M17" s="110" t="n">
        <v>200</v>
      </c>
      <c r="N17" s="112" t="s">
        <v>296</v>
      </c>
      <c r="O17" s="112" t="n">
        <v>0.85</v>
      </c>
      <c r="P17" s="113" t="s">
        <v>288</v>
      </c>
      <c r="Q17" s="113" t="n">
        <v>2.3</v>
      </c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  <c r="AU17" s="108"/>
      <c r="AV17" s="108"/>
      <c r="AW17" s="108"/>
      <c r="AX17" s="108"/>
      <c r="AY17" s="108"/>
      <c r="AZ17" s="108"/>
      <c r="BA17" s="108"/>
      <c r="BB17" s="108"/>
      <c r="BC17" s="108"/>
      <c r="BD17" s="108"/>
      <c r="BE17" s="108"/>
      <c r="BF17" s="108"/>
      <c r="BG17" s="108"/>
      <c r="BH17" s="108"/>
      <c r="BI17" s="108"/>
      <c r="BJ17" s="108"/>
      <c r="BK17" s="108"/>
      <c r="BL17" s="108"/>
      <c r="BM17" s="108"/>
      <c r="BN17" s="108"/>
      <c r="BO17" s="108"/>
      <c r="BP17" s="108"/>
      <c r="BQ17" s="108"/>
      <c r="BR17" s="108"/>
      <c r="BS17" s="108"/>
      <c r="BT17" s="108"/>
      <c r="BU17" s="108"/>
      <c r="BV17" s="108"/>
      <c r="BW17" s="108"/>
      <c r="BX17" s="108"/>
      <c r="BY17" s="108"/>
      <c r="BZ17" s="108"/>
      <c r="CA17" s="108"/>
      <c r="CB17" s="108"/>
      <c r="CC17" s="108"/>
      <c r="CD17" s="108"/>
      <c r="CE17" s="108"/>
      <c r="CF17" s="108"/>
      <c r="CG17" s="108"/>
      <c r="CH17" s="108"/>
      <c r="CI17" s="108"/>
      <c r="CJ17" s="108"/>
      <c r="CK17" s="108"/>
      <c r="CL17" s="108"/>
      <c r="CM17" s="108"/>
      <c r="CN17" s="108"/>
      <c r="CO17" s="108"/>
      <c r="CP17" s="108"/>
      <c r="CQ17" s="108"/>
      <c r="CR17" s="108"/>
      <c r="CS17" s="108"/>
      <c r="CT17" s="108"/>
      <c r="CU17" s="108"/>
      <c r="CV17" s="108"/>
      <c r="CW17" s="108"/>
      <c r="CX17" s="108"/>
      <c r="CY17" s="108"/>
      <c r="CZ17" s="108"/>
      <c r="DA17" s="108"/>
      <c r="DB17" s="108"/>
      <c r="DC17" s="108"/>
      <c r="DD17" s="108"/>
      <c r="DE17" s="108"/>
      <c r="DF17" s="108"/>
      <c r="DG17" s="108"/>
      <c r="DH17" s="108"/>
      <c r="DI17" s="108"/>
      <c r="DJ17" s="108"/>
      <c r="DK17" s="108"/>
      <c r="DL17" s="108"/>
      <c r="DM17" s="108"/>
      <c r="DN17" s="108"/>
      <c r="DO17" s="108"/>
      <c r="DP17" s="108"/>
      <c r="DQ17" s="108"/>
      <c r="DR17" s="108"/>
      <c r="DS17" s="108"/>
      <c r="DT17" s="108"/>
      <c r="DU17" s="108"/>
      <c r="DV17" s="108"/>
      <c r="DW17" s="108"/>
      <c r="DX17" s="108"/>
      <c r="DY17" s="108"/>
      <c r="DZ17" s="108"/>
      <c r="EA17" s="108"/>
      <c r="EB17" s="108"/>
      <c r="EC17" s="108"/>
      <c r="ED17" s="108"/>
      <c r="EE17" s="108"/>
      <c r="EF17" s="108"/>
      <c r="EG17" s="108"/>
      <c r="EH17" s="108"/>
      <c r="EI17" s="108"/>
      <c r="EJ17" s="108"/>
      <c r="EK17" s="108"/>
      <c r="EL17" s="108"/>
      <c r="EM17" s="108"/>
      <c r="EN17" s="108"/>
      <c r="EO17" s="108"/>
      <c r="EP17" s="108"/>
      <c r="EQ17" s="108"/>
      <c r="ER17" s="108"/>
      <c r="ES17" s="108"/>
      <c r="ET17" s="108"/>
      <c r="EU17" s="108"/>
      <c r="EV17" s="108"/>
      <c r="EW17" s="108"/>
      <c r="EX17" s="108"/>
      <c r="EY17" s="108"/>
      <c r="EZ17" s="108"/>
      <c r="FA17" s="108"/>
      <c r="FB17" s="108"/>
      <c r="FC17" s="108"/>
      <c r="FD17" s="108"/>
      <c r="FE17" s="108"/>
      <c r="FF17" s="108"/>
      <c r="FG17" s="108"/>
      <c r="FH17" s="108"/>
      <c r="FI17" s="108"/>
      <c r="FJ17" s="108"/>
      <c r="FK17" s="108"/>
      <c r="FL17" s="108"/>
      <c r="FM17" s="108"/>
      <c r="FN17" s="108"/>
      <c r="FO17" s="108"/>
      <c r="FP17" s="108"/>
      <c r="FQ17" s="108"/>
      <c r="FR17" s="108"/>
      <c r="FS17" s="108"/>
      <c r="FT17" s="108"/>
      <c r="FU17" s="108"/>
      <c r="FV17" s="108"/>
      <c r="FW17" s="108"/>
      <c r="FX17" s="108"/>
      <c r="FY17" s="108"/>
      <c r="FZ17" s="108"/>
      <c r="GA17" s="108"/>
      <c r="GB17" s="108"/>
      <c r="GC17" s="108"/>
      <c r="GD17" s="108"/>
      <c r="GE17" s="108"/>
      <c r="GF17" s="108"/>
      <c r="GG17" s="108"/>
      <c r="GH17" s="108"/>
      <c r="GI17" s="108"/>
      <c r="GJ17" s="108"/>
      <c r="GK17" s="108"/>
      <c r="GL17" s="108"/>
      <c r="GM17" s="108"/>
      <c r="GN17" s="108"/>
      <c r="GO17" s="108"/>
      <c r="GP17" s="108"/>
      <c r="GQ17" s="108"/>
      <c r="GR17" s="108"/>
      <c r="GS17" s="108"/>
      <c r="GT17" s="108"/>
      <c r="GU17" s="108"/>
      <c r="GV17" s="108"/>
      <c r="GW17" s="108"/>
      <c r="GX17" s="108"/>
      <c r="GY17" s="108"/>
      <c r="GZ17" s="108"/>
      <c r="HA17" s="108"/>
      <c r="HB17" s="108"/>
      <c r="HC17" s="108"/>
      <c r="HD17" s="108"/>
      <c r="HE17" s="108"/>
      <c r="HF17" s="108"/>
      <c r="HG17" s="108"/>
      <c r="HH17" s="108"/>
      <c r="HI17" s="108"/>
      <c r="HJ17" s="108"/>
      <c r="HK17" s="108"/>
      <c r="HL17" s="108"/>
      <c r="HM17" s="108"/>
      <c r="HN17" s="108"/>
      <c r="HO17" s="108"/>
      <c r="HP17" s="108"/>
      <c r="HQ17" s="108"/>
      <c r="HR17" s="108"/>
      <c r="HS17" s="108"/>
      <c r="HT17" s="108"/>
      <c r="HU17" s="108"/>
      <c r="HV17" s="108"/>
      <c r="HW17" s="108"/>
      <c r="HX17" s="108"/>
      <c r="HY17" s="108"/>
      <c r="HZ17" s="108"/>
      <c r="IA17" s="108"/>
      <c r="IB17" s="108"/>
      <c r="IC17" s="108"/>
      <c r="ID17" s="108"/>
      <c r="IE17" s="108"/>
      <c r="IF17" s="108"/>
      <c r="IG17" s="108"/>
      <c r="IH17" s="108"/>
      <c r="II17" s="108"/>
      <c r="IJ17" s="108"/>
      <c r="IK17" s="108"/>
      <c r="IL17" s="108"/>
      <c r="IM17" s="108"/>
      <c r="IN17" s="108"/>
      <c r="IO17" s="108"/>
      <c r="IP17" s="108"/>
      <c r="IQ17" s="108"/>
      <c r="IR17" s="108"/>
      <c r="IS17" s="108"/>
      <c r="IT17" s="108"/>
      <c r="IU17" s="108"/>
      <c r="IV17" s="108"/>
      <c r="IW17" s="108"/>
    </row>
    <row r="18" s="109" customFormat="true" ht="23.1" hidden="false" customHeight="false" outlineLevel="0" collapsed="false">
      <c r="A18" s="110" t="s">
        <v>310</v>
      </c>
      <c r="B18" s="110" t="s">
        <v>311</v>
      </c>
      <c r="C18" s="110" t="n">
        <v>200</v>
      </c>
      <c r="D18" s="110" t="n">
        <v>30</v>
      </c>
      <c r="E18" s="110" t="n">
        <v>0.085</v>
      </c>
      <c r="F18" s="110" t="n">
        <v>1700</v>
      </c>
      <c r="G18" s="110" t="n">
        <v>700</v>
      </c>
      <c r="H18" s="110" t="n">
        <v>190</v>
      </c>
      <c r="I18" s="110" t="n">
        <v>35</v>
      </c>
      <c r="J18" s="110" t="s">
        <v>312</v>
      </c>
      <c r="K18" s="110" t="s">
        <v>273</v>
      </c>
      <c r="L18" s="111" t="s">
        <v>313</v>
      </c>
      <c r="M18" s="110" t="n">
        <v>150</v>
      </c>
      <c r="N18" s="112" t="s">
        <v>262</v>
      </c>
      <c r="O18" s="112" t="n">
        <v>0.35</v>
      </c>
      <c r="P18" s="113" t="s">
        <v>263</v>
      </c>
      <c r="Q18" s="113" t="n">
        <v>2.3</v>
      </c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8"/>
      <c r="AS18" s="108"/>
      <c r="AT18" s="108"/>
      <c r="AU18" s="108"/>
      <c r="AV18" s="108"/>
      <c r="AW18" s="108"/>
      <c r="AX18" s="108"/>
      <c r="AY18" s="108"/>
      <c r="AZ18" s="108"/>
      <c r="BA18" s="108"/>
      <c r="BB18" s="108"/>
      <c r="BC18" s="108"/>
      <c r="BD18" s="108"/>
      <c r="BE18" s="108"/>
      <c r="BF18" s="108"/>
      <c r="BG18" s="108"/>
      <c r="BH18" s="108"/>
      <c r="BI18" s="108"/>
      <c r="BJ18" s="108"/>
      <c r="BK18" s="108"/>
      <c r="BL18" s="108"/>
      <c r="BM18" s="108"/>
      <c r="BN18" s="108"/>
      <c r="BO18" s="108"/>
      <c r="BP18" s="108"/>
      <c r="BQ18" s="108"/>
      <c r="BR18" s="108"/>
      <c r="BS18" s="108"/>
      <c r="BT18" s="108"/>
      <c r="BU18" s="108"/>
      <c r="BV18" s="108"/>
      <c r="BW18" s="108"/>
      <c r="BX18" s="108"/>
      <c r="BY18" s="108"/>
      <c r="BZ18" s="108"/>
      <c r="CA18" s="108"/>
      <c r="CB18" s="108"/>
      <c r="CC18" s="108"/>
      <c r="CD18" s="108"/>
      <c r="CE18" s="108"/>
      <c r="CF18" s="108"/>
      <c r="CG18" s="108"/>
      <c r="CH18" s="108"/>
      <c r="CI18" s="108"/>
      <c r="CJ18" s="108"/>
      <c r="CK18" s="108"/>
      <c r="CL18" s="108"/>
      <c r="CM18" s="108"/>
      <c r="CN18" s="108"/>
      <c r="CO18" s="108"/>
      <c r="CP18" s="108"/>
      <c r="CQ18" s="108"/>
      <c r="CR18" s="108"/>
      <c r="CS18" s="108"/>
      <c r="CT18" s="108"/>
      <c r="CU18" s="108"/>
      <c r="CV18" s="108"/>
      <c r="CW18" s="108"/>
      <c r="CX18" s="108"/>
      <c r="CY18" s="108"/>
      <c r="CZ18" s="108"/>
      <c r="DA18" s="108"/>
      <c r="DB18" s="108"/>
      <c r="DC18" s="108"/>
      <c r="DD18" s="108"/>
      <c r="DE18" s="108"/>
      <c r="DF18" s="108"/>
      <c r="DG18" s="108"/>
      <c r="DH18" s="108"/>
      <c r="DI18" s="108"/>
      <c r="DJ18" s="108"/>
      <c r="DK18" s="108"/>
      <c r="DL18" s="108"/>
      <c r="DM18" s="108"/>
      <c r="DN18" s="108"/>
      <c r="DO18" s="108"/>
      <c r="DP18" s="108"/>
      <c r="DQ18" s="108"/>
      <c r="DR18" s="108"/>
      <c r="DS18" s="108"/>
      <c r="DT18" s="108"/>
      <c r="DU18" s="108"/>
      <c r="DV18" s="108"/>
      <c r="DW18" s="108"/>
      <c r="DX18" s="108"/>
      <c r="DY18" s="108"/>
      <c r="DZ18" s="108"/>
      <c r="EA18" s="108"/>
      <c r="EB18" s="108"/>
      <c r="EC18" s="108"/>
      <c r="ED18" s="108"/>
      <c r="EE18" s="108"/>
      <c r="EF18" s="108"/>
      <c r="EG18" s="108"/>
      <c r="EH18" s="108"/>
      <c r="EI18" s="108"/>
      <c r="EJ18" s="108"/>
      <c r="EK18" s="108"/>
      <c r="EL18" s="108"/>
      <c r="EM18" s="108"/>
      <c r="EN18" s="108"/>
      <c r="EO18" s="108"/>
      <c r="EP18" s="108"/>
      <c r="EQ18" s="108"/>
      <c r="ER18" s="108"/>
      <c r="ES18" s="108"/>
      <c r="ET18" s="108"/>
      <c r="EU18" s="108"/>
      <c r="EV18" s="108"/>
      <c r="EW18" s="108"/>
      <c r="EX18" s="108"/>
      <c r="EY18" s="108"/>
      <c r="EZ18" s="108"/>
      <c r="FA18" s="108"/>
      <c r="FB18" s="108"/>
      <c r="FC18" s="108"/>
      <c r="FD18" s="108"/>
      <c r="FE18" s="108"/>
      <c r="FF18" s="108"/>
      <c r="FG18" s="108"/>
      <c r="FH18" s="108"/>
      <c r="FI18" s="108"/>
      <c r="FJ18" s="108"/>
      <c r="FK18" s="108"/>
      <c r="FL18" s="108"/>
      <c r="FM18" s="108"/>
      <c r="FN18" s="108"/>
      <c r="FO18" s="108"/>
      <c r="FP18" s="108"/>
      <c r="FQ18" s="108"/>
      <c r="FR18" s="108"/>
      <c r="FS18" s="108"/>
      <c r="FT18" s="108"/>
      <c r="FU18" s="108"/>
      <c r="FV18" s="108"/>
      <c r="FW18" s="108"/>
      <c r="FX18" s="108"/>
      <c r="FY18" s="108"/>
      <c r="FZ18" s="108"/>
      <c r="GA18" s="108"/>
      <c r="GB18" s="108"/>
      <c r="GC18" s="108"/>
      <c r="GD18" s="108"/>
      <c r="GE18" s="108"/>
      <c r="GF18" s="108"/>
      <c r="GG18" s="108"/>
      <c r="GH18" s="108"/>
      <c r="GI18" s="108"/>
      <c r="GJ18" s="108"/>
      <c r="GK18" s="108"/>
      <c r="GL18" s="108"/>
      <c r="GM18" s="108"/>
      <c r="GN18" s="108"/>
      <c r="GO18" s="108"/>
      <c r="GP18" s="108"/>
      <c r="GQ18" s="108"/>
      <c r="GR18" s="108"/>
      <c r="GS18" s="108"/>
      <c r="GT18" s="108"/>
      <c r="GU18" s="108"/>
      <c r="GV18" s="108"/>
      <c r="GW18" s="108"/>
      <c r="GX18" s="108"/>
      <c r="GY18" s="108"/>
      <c r="GZ18" s="108"/>
      <c r="HA18" s="108"/>
      <c r="HB18" s="108"/>
      <c r="HC18" s="108"/>
      <c r="HD18" s="108"/>
      <c r="HE18" s="108"/>
      <c r="HF18" s="108"/>
      <c r="HG18" s="108"/>
      <c r="HH18" s="108"/>
      <c r="HI18" s="108"/>
      <c r="HJ18" s="108"/>
      <c r="HK18" s="108"/>
      <c r="HL18" s="108"/>
      <c r="HM18" s="108"/>
      <c r="HN18" s="108"/>
      <c r="HO18" s="108"/>
      <c r="HP18" s="108"/>
      <c r="HQ18" s="108"/>
      <c r="HR18" s="108"/>
      <c r="HS18" s="108"/>
      <c r="HT18" s="108"/>
      <c r="HU18" s="108"/>
      <c r="HV18" s="108"/>
      <c r="HW18" s="108"/>
      <c r="HX18" s="108"/>
      <c r="HY18" s="108"/>
      <c r="HZ18" s="108"/>
      <c r="IA18" s="108"/>
      <c r="IB18" s="108"/>
      <c r="IC18" s="108"/>
      <c r="ID18" s="108"/>
      <c r="IE18" s="108"/>
      <c r="IF18" s="108"/>
      <c r="IG18" s="108"/>
      <c r="IH18" s="108"/>
      <c r="II18" s="108"/>
      <c r="IJ18" s="108"/>
      <c r="IK18" s="108"/>
      <c r="IL18" s="108"/>
      <c r="IM18" s="108"/>
      <c r="IN18" s="108"/>
      <c r="IO18" s="108"/>
      <c r="IP18" s="108"/>
      <c r="IQ18" s="108"/>
      <c r="IR18" s="108"/>
      <c r="IS18" s="108"/>
      <c r="IT18" s="108"/>
      <c r="IU18" s="108"/>
      <c r="IV18" s="108"/>
      <c r="IW18" s="108"/>
    </row>
    <row r="19" s="109" customFormat="true" ht="44.75" hidden="false" customHeight="false" outlineLevel="0" collapsed="false">
      <c r="A19" s="110" t="s">
        <v>314</v>
      </c>
      <c r="B19" s="110" t="s">
        <v>315</v>
      </c>
      <c r="C19" s="110" t="n">
        <v>60</v>
      </c>
      <c r="D19" s="110" t="n">
        <v>2</v>
      </c>
      <c r="E19" s="110" t="n">
        <v>2.5</v>
      </c>
      <c r="F19" s="110" t="n">
        <v>50</v>
      </c>
      <c r="G19" s="110" t="n">
        <v>20</v>
      </c>
      <c r="H19" s="110" t="n">
        <v>12</v>
      </c>
      <c r="I19" s="110" t="n">
        <v>250</v>
      </c>
      <c r="J19" s="110" t="s">
        <v>316</v>
      </c>
      <c r="K19" s="110" t="s">
        <v>269</v>
      </c>
      <c r="L19" s="111" t="s">
        <v>317</v>
      </c>
      <c r="M19" s="110" t="n">
        <v>150</v>
      </c>
      <c r="N19" s="112" t="s">
        <v>250</v>
      </c>
      <c r="O19" s="112" t="n">
        <v>0.4</v>
      </c>
      <c r="P19" s="113" t="s">
        <v>251</v>
      </c>
      <c r="Q19" s="113" t="n">
        <v>2</v>
      </c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08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08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08"/>
      <c r="CB19" s="108"/>
      <c r="CC19" s="108"/>
      <c r="CD19" s="108"/>
      <c r="CE19" s="108"/>
      <c r="CF19" s="108"/>
      <c r="CG19" s="108"/>
      <c r="CH19" s="108"/>
      <c r="CI19" s="108"/>
      <c r="CJ19" s="108"/>
      <c r="CK19" s="108"/>
      <c r="CL19" s="108"/>
      <c r="CM19" s="108"/>
      <c r="CN19" s="108"/>
      <c r="CO19" s="108"/>
      <c r="CP19" s="108"/>
      <c r="CQ19" s="108"/>
      <c r="CR19" s="108"/>
      <c r="CS19" s="108"/>
      <c r="CT19" s="108"/>
      <c r="CU19" s="108"/>
      <c r="CV19" s="108"/>
      <c r="CW19" s="108"/>
      <c r="CX19" s="108"/>
      <c r="CY19" s="108"/>
      <c r="CZ19" s="108"/>
      <c r="DA19" s="108"/>
      <c r="DB19" s="108"/>
      <c r="DC19" s="108"/>
      <c r="DD19" s="108"/>
      <c r="DE19" s="108"/>
      <c r="DF19" s="108"/>
      <c r="DG19" s="108"/>
      <c r="DH19" s="108"/>
      <c r="DI19" s="108"/>
      <c r="DJ19" s="108"/>
      <c r="DK19" s="108"/>
      <c r="DL19" s="108"/>
      <c r="DM19" s="108"/>
      <c r="DN19" s="108"/>
      <c r="DO19" s="108"/>
      <c r="DP19" s="108"/>
      <c r="DQ19" s="108"/>
      <c r="DR19" s="108"/>
      <c r="DS19" s="108"/>
      <c r="DT19" s="108"/>
      <c r="DU19" s="108"/>
      <c r="DV19" s="108"/>
      <c r="DW19" s="108"/>
      <c r="DX19" s="108"/>
      <c r="DY19" s="108"/>
      <c r="DZ19" s="108"/>
      <c r="EA19" s="108"/>
      <c r="EB19" s="108"/>
      <c r="EC19" s="108"/>
      <c r="ED19" s="108"/>
      <c r="EE19" s="108"/>
      <c r="EF19" s="108"/>
      <c r="EG19" s="108"/>
      <c r="EH19" s="108"/>
      <c r="EI19" s="108"/>
      <c r="EJ19" s="108"/>
      <c r="EK19" s="108"/>
      <c r="EL19" s="108"/>
      <c r="EM19" s="108"/>
      <c r="EN19" s="108"/>
      <c r="EO19" s="108"/>
      <c r="EP19" s="108"/>
      <c r="EQ19" s="108"/>
      <c r="ER19" s="108"/>
      <c r="ES19" s="108"/>
      <c r="ET19" s="108"/>
      <c r="EU19" s="108"/>
      <c r="EV19" s="108"/>
      <c r="EW19" s="108"/>
      <c r="EX19" s="108"/>
      <c r="EY19" s="108"/>
      <c r="EZ19" s="108"/>
      <c r="FA19" s="108"/>
      <c r="FB19" s="108"/>
      <c r="FC19" s="108"/>
      <c r="FD19" s="108"/>
      <c r="FE19" s="108"/>
      <c r="FF19" s="108"/>
      <c r="FG19" s="108"/>
      <c r="FH19" s="108"/>
      <c r="FI19" s="108"/>
      <c r="FJ19" s="108"/>
      <c r="FK19" s="108"/>
      <c r="FL19" s="108"/>
      <c r="FM19" s="108"/>
      <c r="FN19" s="108"/>
      <c r="FO19" s="108"/>
      <c r="FP19" s="108"/>
      <c r="FQ19" s="108"/>
      <c r="FR19" s="108"/>
      <c r="FS19" s="108"/>
      <c r="FT19" s="108"/>
      <c r="FU19" s="108"/>
      <c r="FV19" s="108"/>
      <c r="FW19" s="108"/>
      <c r="FX19" s="108"/>
      <c r="FY19" s="108"/>
      <c r="FZ19" s="108"/>
      <c r="GA19" s="108"/>
      <c r="GB19" s="108"/>
      <c r="GC19" s="108"/>
      <c r="GD19" s="108"/>
      <c r="GE19" s="108"/>
      <c r="GF19" s="108"/>
      <c r="GG19" s="108"/>
      <c r="GH19" s="108"/>
      <c r="GI19" s="108"/>
      <c r="GJ19" s="108"/>
      <c r="GK19" s="108"/>
      <c r="GL19" s="108"/>
      <c r="GM19" s="108"/>
      <c r="GN19" s="108"/>
      <c r="GO19" s="108"/>
      <c r="GP19" s="108"/>
      <c r="GQ19" s="108"/>
      <c r="GR19" s="108"/>
      <c r="GS19" s="108"/>
      <c r="GT19" s="108"/>
      <c r="GU19" s="108"/>
      <c r="GV19" s="108"/>
      <c r="GW19" s="108"/>
      <c r="GX19" s="108"/>
      <c r="GY19" s="108"/>
      <c r="GZ19" s="108"/>
      <c r="HA19" s="108"/>
      <c r="HB19" s="108"/>
      <c r="HC19" s="108"/>
      <c r="HD19" s="108"/>
      <c r="HE19" s="108"/>
      <c r="HF19" s="108"/>
      <c r="HG19" s="108"/>
      <c r="HH19" s="108"/>
      <c r="HI19" s="108"/>
      <c r="HJ19" s="108"/>
      <c r="HK19" s="108"/>
      <c r="HL19" s="108"/>
      <c r="HM19" s="108"/>
      <c r="HN19" s="108"/>
      <c r="HO19" s="108"/>
      <c r="HP19" s="108"/>
      <c r="HQ19" s="108"/>
      <c r="HR19" s="108"/>
      <c r="HS19" s="108"/>
      <c r="HT19" s="108"/>
      <c r="HU19" s="108"/>
      <c r="HV19" s="108"/>
      <c r="HW19" s="108"/>
      <c r="HX19" s="108"/>
      <c r="HY19" s="108"/>
      <c r="HZ19" s="108"/>
      <c r="IA19" s="108"/>
      <c r="IB19" s="108"/>
      <c r="IC19" s="108"/>
      <c r="ID19" s="108"/>
      <c r="IE19" s="108"/>
      <c r="IF19" s="108"/>
      <c r="IG19" s="108"/>
      <c r="IH19" s="108"/>
      <c r="II19" s="108"/>
      <c r="IJ19" s="108"/>
      <c r="IK19" s="108"/>
      <c r="IL19" s="108"/>
      <c r="IM19" s="108"/>
      <c r="IN19" s="108"/>
      <c r="IO19" s="108"/>
      <c r="IP19" s="108"/>
      <c r="IQ19" s="108"/>
      <c r="IR19" s="108"/>
      <c r="IS19" s="108"/>
      <c r="IT19" s="108"/>
      <c r="IU19" s="108"/>
      <c r="IV19" s="108"/>
      <c r="IW19" s="108"/>
    </row>
    <row r="20" customFormat="false" ht="15" hidden="false" customHeight="false" outlineLevel="0" collapsed="false">
      <c r="B20" s="108"/>
      <c r="C20" s="108"/>
      <c r="D20" s="108"/>
      <c r="E20" s="108"/>
      <c r="F20" s="108"/>
      <c r="G20" s="108"/>
      <c r="H20" s="108"/>
      <c r="I20" s="108"/>
      <c r="J20" s="108"/>
      <c r="K20" s="10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2026-04-11T08:46:40Z</dcterms:modified>
  <cp:revision>235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