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-E Calculator" sheetId="1" state="visible" r:id="rId3"/>
    <sheet name="LPF Direct 5-poles" sheetId="2" state="visible" r:id="rId4"/>
    <sheet name="LPF Direct 7-pole" sheetId="3" state="visible" r:id="rId5"/>
    <sheet name="Schematic 5-pole LPF" sheetId="4" state="visible" r:id="rId6"/>
    <sheet name="Schematic 7-pole LPF" sheetId="5" state="visible" r:id="rId7"/>
    <sheet name="MOSFET Reference Table" sheetId="6" state="visible" r:id="rId8"/>
  </sheets>
  <definedNames>
    <definedName function="false" hidden="false" name="_xlfn_IFERROR" vbProcedure="false">#NAME?</definedName>
  </definedName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FIXED: Added distinction between I_D(continuous) and I_pk(peak). I_D(cont) from MOSFET table is compared against I_pk=2.862*Idc. For devices where I_D(cont) &lt; I_pk but &gt; I_pk/2, added advisory to check I_D(pulsed) from datasheet (typically 2-4x I_D(cont)).</t>
        </r>
      </text>
    </comment>
    <comment ref="C88" authorId="0">
      <text>
        <r>
          <rPr>
            <sz val="10"/>
            <rFont val="Arial"/>
            <family val="2"/>
          </rPr>
          <t xml:space="preserve">⚠ COMPATIBILITY: This cell uses the LET() function, which requires Excel 2019, Microsoft 365, or LibreOffice 7.4+. In older Excel versions this cell will show #NAME?. To fix: decompose LET() into separate helper cells for each intermediate variable.</t>
        </r>
      </text>
    </comment>
    <comment ref="G88" authorId="0">
      <text>
        <r>
          <rPr>
            <sz val="10"/>
            <rFont val="Arial"/>
            <family val="2"/>
          </rPr>
          <t xml:space="preserve">INFORMATIONAL ONLY — NOT USED IN η CALCULATION.
C88 (the authoritative η) is driven by J95, not this cell.
This cell is a diagnostic duplicate for debugging. Do not reference G88 in formulas.
Kept for engineering cross-check purposes only.</t>
        </r>
      </text>
    </comment>
    <comment ref="J95" authorId="0">
      <text>
        <r>
          <rPr>
            <sz val="10"/>
            <rFont val="Arial"/>
            <family val="2"/>
          </rPr>
          <t xml:space="preserve">FIXED: Now uses (V_pk²−Vo²) = Coss capacitor energy integral from Vo to V_pk.
Old formula: 0.5·Coss·V_pk²·f·k — incorrect for BJT (Vo&gt;0).
New formula: 0.5·Coss·(V_pk²−Vo²)·f·k — exact energy ∫[Vo→V_pk] C·V dV.
For MOSFET (Vo=0): V_pk²−Vo²=V_pk² → identical result, no change.
For BJT (Vo=0.5V, Vcc=5V): ~0.09% correction (negligible but now exact).</t>
        </r>
      </text>
    </comment>
    <comment ref="J97" authorId="0">
      <text>
        <r>
          <rPr>
            <sz val="10"/>
            <rFont val="Arial"/>
            <family val="2"/>
          </rPr>
          <t xml:space="preserve">FIXED: Now uses C88 (converged total η) as P_in basis, not J92 (resistive-only η).
This corrects J98 (switching loss power) and J99 (MOSFET thermal) to use true P_in.
Bug: J97=P_out/J92 underestimated P_in by η_resistive/η_total-1 ≈ 2–5%.
No circular dependency: J98/J99 do not feed back into C88.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4" authorId="0">
      <text>
        <r>
          <rPr>
            <sz val="10"/>
            <rFont val="Arial"/>
            <family val="2"/>
          </rPr>
          <t xml:space="preserve">FIXED: Updated from 2.0 to 2.5. NXP BS170 datasheet (Rev.9 2016): Rds(on) vs Tj follows approximately T^2.5 power law. Using 2.0 underestimated Rds at elevated temperature by ~10%.</t>
        </r>
      </text>
    </comment>
    <comment ref="Q5" authorId="0">
      <text>
        <r>
          <rPr>
            <sz val="10"/>
            <rFont val="Arial"/>
            <family val="2"/>
          </rPr>
          <t xml:space="preserve">FIXED: Updated from 2.0 to 2.5. ON Semiconductor 2N7000 datasheet: Rds(on) temperature coefficient consistent with T^2.5 exponent for Si-planar.</t>
        </r>
      </text>
    </comment>
  </commentList>
</comments>
</file>

<file path=xl/sharedStrings.xml><?xml version="1.0" encoding="utf-8"?>
<sst xmlns="http://schemas.openxmlformats.org/spreadsheetml/2006/main" count="762" uniqueCount="415">
  <si>
    <t xml:space="preserve">CLASS-E RF POWER AMPLIFIER  ·  DESIGN CALCULATOR</t>
  </si>
  <si>
    <t xml:space="preserve">Based on Sokal/Raab equations (WA1HQC · QEX Jan/Feb 2001) | Optimum (ZVS + ZCS) Class-E switching</t>
  </si>
  <si>
    <t xml:space="preserve">By  Emiliano Gonzalez LU3VEA – lu3vea@gmail.com – License: GPL v3</t>
  </si>
  <si>
    <t xml:space="preserve">⚙ ITERATIVE CALCULATION REQUIRED — File → Options → Formulas → Enable Iterative Calculation (100 iterations, max change 0.0001). LibreOffice: Tools → Options → LibreOffice Calc → Calculate → Iterations. Press F9 until η (C88) stabilises. Circular chain: η(C88) → I_dc(C43) → RFC loss term [−ESR_RFC·I_dc/(Vcc−ΔV)] &amp; Coss-fraction term [−J95/((Vcc−ΔV)·I_dc)] in J96 → η(C88). NOTE: J95 = Coss power [W] (NOT RFC loss) — the RFC loss and Coss loss fraction are both in J96.. [R(C42), C1(C48), C2(C52), L2(C50), and RFC(C54) are NOT part of the circular chain — they depend only on fixed inputs and are valid from the first calculation.]</t>
  </si>
  <si>
    <t xml:space="preserve">MOSFET MODEL</t>
  </si>
  <si>
    <t xml:space="preserve">BS170</t>
  </si>
  <si>
    <t xml:space="preserve">Min. MOSFET V_DSS Required (V)</t>
  </si>
  <si>
    <t xml:space="preserve">INPUT PARAMETERS</t>
  </si>
  <si>
    <t xml:space="preserve">Parameter</t>
  </si>
  <si>
    <t xml:space="preserve">Value</t>
  </si>
  <si>
    <t xml:space="preserve">Unit</t>
  </si>
  <si>
    <t xml:space="preserve">Supply Voltage (Vcc)</t>
  </si>
  <si>
    <t xml:space="preserve">V</t>
  </si>
  <si>
    <t xml:space="preserve">Output Power (P_out)</t>
  </si>
  <si>
    <t xml:space="preserve">W</t>
  </si>
  <si>
    <t xml:space="preserve">Operating Frequency (f)</t>
  </si>
  <si>
    <t xml:space="preserve">MHz</t>
  </si>
  <si>
    <t xml:space="preserve">Loaded Q Factor (Q_L)</t>
  </si>
  <si>
    <t xml:space="preserve">—</t>
  </si>
  <si>
    <t xml:space="preserve">Transistor V_sat (Vo)  [0 for MOSFET, 0.1–1 V for BJT]</t>
  </si>
  <si>
    <t xml:space="preserve">Drain Efficiency (η)</t>
  </si>
  <si>
    <t xml:space="preserve">ESR_L2  (L2 winding series resistance)</t>
  </si>
  <si>
    <t xml:space="preserve">Ω</t>
  </si>
  <si>
    <t xml:space="preserve">ℹ ESR_L2: series resonant inductor (L2) winding resistance. Typical: 0.03–0.08 Ω small air-core solenoid; 0.05–0.15 Ω wound toroid at HF. Enters Sokal Eq. 1 with full weight (coefficient 1.0) — errors here corrupt η, R, C1, C2, and I_dc directly. Measure with LCR meter or VNA at operating frequency. Do NOT enter RFC ESR here — that belongs in C23.</t>
  </si>
  <si>
    <t xml:space="preserve">RFC Winding ESR  (ESR_RFC)</t>
  </si>
  <si>
    <t xml:space="preserve">ℹ RFC choke winding ESR. Typical: 0.05–0.1 Ω air-core toroid; 0.1–0.5 Ω wound ferrite at HF; up to 1 Ω for small ferrite pot cores. Used in η model. Loss ≈ ESR_RFC × I_dc². Measure with LCR meter or VNA at operating frequency.</t>
  </si>
  <si>
    <t xml:space="preserve">Source Impedance (Z_in)</t>
  </si>
  <si>
    <t xml:space="preserve">Load Impedance  Z_out (antenna/load)</t>
  </si>
  <si>
    <t xml:space="preserve">Duty Cycle (D)  </t>
  </si>
  <si>
    <t xml:space="preserve">MOSFET Ciss (from datasheet)</t>
  </si>
  <si>
    <t xml:space="preserve">pF</t>
  </si>
  <si>
    <t xml:space="preserve">Gate Damping Resistor (R_gate)</t>
  </si>
  <si>
    <t xml:space="preserve">Ambient Temperature (T_amb)</t>
  </si>
  <si>
    <t xml:space="preserve">°C</t>
  </si>
  <si>
    <t xml:space="preserve">ESR_C2  (C2 capacitor series resistance)</t>
  </si>
  <si>
    <t xml:space="preserve">ESR_C1  (C1 shunt capacitor series resistance)</t>
  </si>
  <si>
    <t xml:space="preserve">C_oss</t>
  </si>
  <si>
    <t xml:space="preserve">C1_ext  (= C1_total − Coss_effective;   Coss_effective = C32 × C36,  where C32 = Coss datasheet [pF],  C36 = bias-point scale factor)  ⚠ C32 is approximate. For best accuracy, use a VNA to measure Coss at Vds ≈ 0.5×Vcc, or use manufacturer's energy-equivalent Coss (Coss,er) if provided.</t>
  </si>
  <si>
    <t xml:space="preserve">MOSFET fall time t_f [ns] — overrides fT model when &gt; 0</t>
  </si>
  <si>
    <t xml:space="preserve">ns</t>
  </si>
  <si>
    <t xml:space="preserve">ΔV supply droop (V)</t>
  </si>
  <si>
    <t xml:space="preserve">Coss scale factor  (auto-selected by device type; override if needed)</t>
  </si>
  <si>
    <t xml:space="preserve">⚠ Coss is bias-dependent. Recommended scale factors by device type: Si planar (BS170, 2N7000): 0.40 | Si vertical DMOS (IRF510, IRF540, IRFZ44N): 0.35 | LDMOS (RD16HVF1, MRF101AN, BLF574): 0.85 (use Coss,er from datasheet if available). For best accuracy, measure Coss at Vds ≈ 0.5×Vcc with a VNA. ⚠ Vcc-dependency note: Coss decreases significantly at higher Vds. For Vcc far from the nominal design point (e.g. &lt;5 V or &gt;15 V), verify scale factor against Coss vs Vds curve in the datasheet or use manufacturer energy-equivalent Coss (Coss,er) if provided. </t>
  </si>
  <si>
    <t xml:space="preserve">ZVS quality factor k_coss (edit I36 to override (replace its formula with your value))
Si-planar (BS170, 2N7000): 0.40–0.50
Si vertical DMOS (IRF510, IRF540, IRFZ44N): 0.35
RF MOSFET LDMOS (RD16HVF1, BLF574): 0.05–0.10
Unknown / conservative: 0.25 (default)
Formula: p_coss = 0.5 × Coss_eff × V_pk² × f × k_coss</t>
  </si>
  <si>
    <t xml:space="preserve">⚠ To override k_coss: type your value directly into I36 (replacing =H36 formula). Example: 0.08 for LDMOS/GaN ZVS, 0.35 for Si-DMOS poor-ZVS, 0.40–0.50 for Si-planar poor-ZVS. Default formula =H36 auto-selects by device type from H36. J95 now uses I36.</t>
  </si>
  <si>
    <t xml:space="preserve">V_DSS Safety Factor  (×V_pk_nominal). Typical: 2.0× (steady-state), 2.5× (HF bench), 3.0× (severe mistuning / VLF high-V)</t>
  </si>
  <si>
    <t xml:space="preserve">ℹ Mistuned V_pk can reach 5×Vcc; see I82 for worst-case check. Guidelines: 2.0× steady-state only | 3.0× HF bench | 4.0× severe mistuning/VLF high-V.</t>
  </si>
  <si>
    <t xml:space="preserve">INTERMEDIATE CALCULATIONS</t>
  </si>
  <si>
    <t xml:space="preserve">Comment</t>
  </si>
  <si>
    <t xml:space="preserve">Angular Frequency  ω = 2π · f</t>
  </si>
  <si>
    <t xml:space="preserve">rad/s</t>
  </si>
  <si>
    <t xml:space="preserve">ω = angular frequency used in all component formulas below</t>
  </si>
  <si>
    <t xml:space="preserve">Optimum Load Resistance  R  (Sokal eq.6, QL-corrected polynomial)</t>
  </si>
  <si>
    <t xml:space="preserve">Sokal AACD 2001 eq.6a (3rd-order, ±0.01%): R = Veff²/P_out · f(QL), where f(QL) = 0.576801×(1.0000086 − 0.414395/QL − 0.577501/QL² + 0.205967/QL³). η does not appear in the R formula (Sokal formulation); it enters the design only through the efficiency model (C88/J95) and I_dc (C43). The C6 convergence check validates this formula directly.</t>
  </si>
  <si>
    <t xml:space="preserve">DC Supply Current  I_dc  =  P_out / (Vcc · η)</t>
  </si>
  <si>
    <t xml:space="preserve">A</t>
  </si>
  <si>
    <t xml:space="preserve">Average DC supply current. Uses V_eff=(Vcc−ΔV−Vo) in denominator. MOSFET (Vo=0): I_dc = Pout/((Vcc−ΔV)×η) ← IMPROVED (Sokal Eq.3 uses Vcc alone; ΔV correction here gives more accurate I_dc when supply droop ΔV&gt;0). BJT (Vo&gt;0): I_dc = Pout/((Vcc−ΔV−Vo)×η) — KNOWN CONSERVATIVE APPROXIMATION: overestimates I_dc by Vo/(Vcc−ΔV−Vo)×100% vs Sokal eq.3 which uses Vcc alone. Example: Vo=0.5V, Vcc=5V → +11% overestimate. This is intentional (safe-side for I_pk and thermal calculations). R formula (C42) and I_dc both use Veff consistently. Press F9 until C88 stabilises.</t>
  </si>
  <si>
    <t xml:space="preserve">Effective Drive Voltage  V_eff  =  Vcc − V_sat</t>
  </si>
  <si>
    <t xml:space="preserve">Usable voltage swing. Vo (C20) = transistor voltage-saturation offset; use 0 for MOSFET (ideal switch), 0.1–1 V for BJT at low freq. Supply-wiring droop ΔV.</t>
  </si>
  <si>
    <t xml:space="preserve">CLASS-E COMPONENT VALUES  (Sokal / Raab equations)</t>
  </si>
  <si>
    <t xml:space="preserve">Std 5%</t>
  </si>
  <si>
    <t xml:space="preserve">C1  Shunt Capacitor (drain-to-GND)  [QL-corrected, Sokal eq.7]</t>
  </si>
  <si>
    <t xml:space="preserve">F</t>
  </si>
  <si>
    <t xml:space="preserve">Sokal eq.7 QL-corrected polynomial / (5.4466·ω·R). RFC correction +0.6/(ω²·L_RFC) is dynamically linked to actual RFC value (C54). Note: C1 depends on RFC (C54) which depends on R (C42) which depends on η (C88) — downstream dependency, not feedback loop: C1 does not feed back into η. The convergence check in C6 explicitly verifies C1 self-consistency. Subtract MOSFET Coss (C32, scaled by C36) for external cap C1_ext (C33). | ℹ ACCURACY: Polynomial matches Sokal Table I to within ±0.18% across all valid QL (1.7879–∞). C1 (C48/C49) is C1_TOTAL (Coss_eff + external cap). The external capacitor to physically fit is C1_ext = C1_total − Coss_eff (see C33). ⚠ For QL &gt; 7, Kazimierczuk &amp; Puczko (1987) exact analysis may differ slightly due to higher-order RFC interaction; treat C1 as a starting point and optimise ZVS with LTspice for QL &gt; 7.</t>
  </si>
  <si>
    <t xml:space="preserve">C1  [pF]</t>
  </si>
  <si>
    <t xml:space="preserve">Choose nearest standard value (silver-mica or NP0 ceramic)</t>
  </si>
  <si>
    <t xml:space="preserve">L2  Series Resonant Inductor</t>
  </si>
  <si>
    <t xml:space="preserve">H</t>
  </si>
  <si>
    <t xml:space="preserve">Wind this inductor. L2 = QL×R/ω (Sokal Eq.10). This is the physical series coil between drain and C2.</t>
  </si>
  <si>
    <t xml:space="preserve">L2  [µH]</t>
  </si>
  <si>
    <t xml:space="preserve">µH</t>
  </si>
  <si>
    <t xml:space="preserve">Wind on T68-6 toroid; verify SRF &gt; 10× operating frequency</t>
  </si>
  <si>
    <t xml:space="preserve">C2  Series Resonant Capacitor  [Sokal Table I fit, valid QL≥5]</t>
  </si>
  <si>
    <t xml:space="preserve">C2  [pF]</t>
  </si>
  <si>
    <t xml:space="preserve">Polypropylene (WIMA FKP) or silver-mica</t>
  </si>
  <si>
    <t xml:space="preserve">RFC  RF Choke (minimum inductance  ≥ 30·R/ω,  use 50·R/ω in practice)</t>
  </si>
  <si>
    <t xml:space="preserve">Sokal QEX 2001: choke reactance must be ≥30×R.</t>
  </si>
  <si>
    <t xml:space="preserve">⚠ RFC OVERRIDE PROCEDURE — READ CAREFULLY: (1) Calculate your RFC in µH. (2) Enter the value ÷ 1,000,000 (in Henrys) DIRECTLY INTO C54 — replace its formula. Example: 20 µH → type 0.000020 into C54. 🚫 DO NOT CHANGE C55 — C55 auto-displays C54 in µH and C1/C2 use C54. Editing C55 does NOT update C1 or C2. Editing C55 means C1 and C2 keep using old RFC value silently! To restore auto-RFC: delete C54 content and re-enter =50*C42/C41</t>
  </si>
  <si>
    <t xml:space="preserve">RFC  [µH]</t>
  </si>
  <si>
    <t xml:space="preserve">L_ser  Net excess inductance of L2-C2 branch at ω  [informational only - NOT a separate coil]</t>
  </si>
  <si>
    <t xml:space="preserve">Informational only. L_ser = L2 − 1/(ω²·C2) is the net excess inductance built into L2 by design. Do NOT wind a separate coil for L_ser. Wind only L2 (row 46).</t>
  </si>
  <si>
    <t xml:space="preserve">L_ser  [µH]</t>
  </si>
  <si>
    <t xml:space="preserve">Informational only. L_ser is the net inductive excess already built into the L2-C2 branch by design (ωL2 &gt; 1/ωC2). Do NOT wind or purchase a separate inductor for L_ser. Wind only L2 (row 46). See F51 for L2 winding instructions.</t>
  </si>
  <si>
    <t xml:space="preserve">L2  Physical coil to wind  =  QL × R / ω  [identical to L2 rows 46–47 — ONE coil only; L_total = L2]</t>
  </si>
  <si>
    <t xml:space="preserve">This row previously showed "L_total" but L_total = L2 — there is NO separate coil. Wind ONLY the L2 coil from rows 50–51. L_ser (rows 56–57) is informational only and is NOT wound separately. The net inductive excess of the L2-C2 branch is already inherent in L2 by design.</t>
  </si>
  <si>
    <t xml:space="preserve">L_total  [µH]  — same as L2 above; wind ONE coil only</t>
  </si>
  <si>
    <t xml:space="preserve">⚠ L_total = L2 (rows 46–47). This row is kept for reference only. Standard value picker (E59) = E49. Do NOT wind two separate coils.</t>
  </si>
  <si>
    <t xml:space="preserve">OUTPUT IMPEDANCE MATCHING  (L-Network: R_drain → Z_load)</t>
  </si>
  <si>
    <t xml:space="preserve">Internal Load R at drain</t>
  </si>
  <si>
    <t xml:space="preserve">Optimum Class-E drain load (from Sokal eq.)</t>
  </si>
  <si>
    <t xml:space="preserve">External Load  Z_out</t>
  </si>
  <si>
    <t xml:space="preserve">As set in Input Parameters (typically 50 Ω)</t>
  </si>
  <si>
    <t xml:space="preserve">L-network quality factor Q_match  =  √(Z_max/Z_min − 1)</t>
  </si>
  <si>
    <t xml:space="preserve">L_match  (series element)</t>
  </si>
  <si>
    <t xml:space="preserve">L_match  [µH]</t>
  </si>
  <si>
    <t xml:space="preserve">C_match  (shunt element)</t>
  </si>
  <si>
    <t xml:space="preserve">C_match  [pF]</t>
  </si>
  <si>
    <t xml:space="preserve">Network Type (Step-UP: R_drain &lt; Z_load  |  Step-DOWN: R_drain &gt; Z_load)</t>
  </si>
  <si>
    <t xml:space="preserve">In Step-DOWN (R_drain &gt; Z_load): Shunt C_match at DRAIN (HIGH-Z) side, series L_match toward load. In Step-UP (R_drain &lt; Z_load, typical QRP Class-E): Series L_match from DRAIN (LOW-Z), then Shunt C_match at LOAD (HIGH-Z, 50Ω) side. Both give LOW-PASS L-network response for better harmonic rejection. L_match=Q×R_min/ω; C_match=Q/(ω×R_max). ⚠ L-NETWORK PROVIDES IMPEDANCE MATCH ONLY — add the 5-7 element Chebyshev LPF for harmonic attenuation ≥43 dBc (FCC §97.307) / ≥50 dBc (IARU).</t>
  </si>
  <si>
    <t xml:space="preserve">INPUT IMPEDANCE MATCHING  (L-Network: Z_source → R_gate)</t>
  </si>
  <si>
    <t xml:space="preserve">Gate Impedance  |Zg| ≈ 1 / (ω · Ciss)</t>
  </si>
  <si>
    <t xml:space="preserve">X_ciss = 1/(ω·Ciss): reactive part of gate impedance. Gate model: series Rgate−jXciss. L_in (C73) includes a term 1/(ω²·Ciss) to resonate out Xciss.</t>
  </si>
  <si>
    <t xml:space="preserve">Gate Series Impedance  |Zg| = √(Xciss²+Rg²)</t>
  </si>
  <si>
    <t xml:space="preserve">Gate modelled as series Xciss-Rgate. |Zg|=√(Xciss²+Rg²). When Xciss&gt;&gt;Rgate (typical at HF), series resonance via L_in dominates — see C59.</t>
  </si>
  <si>
    <t xml:space="preserve">Source Impedance  Z_in</t>
  </si>
  <si>
    <t xml:space="preserve">From Input Parameters</t>
  </si>
  <si>
    <t xml:space="preserve">Q_in  =  √(Z_max/Z_min − 1)  [uses R_gate (C28, real part after Xciss cancellation by L_in), NOT |Zg|]</t>
  </si>
  <si>
    <t xml:space="preserve">Q_in uses R_gate (C28) — the real part of gate impedance after the resonating inductor L_in cancels reactive Xciss — not |Zg| (C75). Using |Zg| would give incorrect Q because Xciss is neutralised by L_in. Q_in = √(Z_max/Z_min − 1) where Z_max=MAX(Z_source, R_gate) and Z_min=MIN(Z_source, R_gate). Note: C27 is Ciss (pF), C28 is R_gate (Ω) — the formula correctly uses C28.</t>
  </si>
  <si>
    <t xml:space="preserve">L_in  (series element)  [µH]</t>
  </si>
  <si>
    <t xml:space="preserve">Two-case model (Xciss/Rgate ratio test):
Case 1 — Xciss &lt; 3×Rgate: L-network model unreliable; full complex-impedance synthesis required (ADS/LTspice).
Case 2 — Xciss ≥ 3×Rgate: L_in = 1/(ω²·Ciss) + Q_in·R_min/ω. The first term resonates out gate Ciss; the second term provides impedance transformation from Z_source to R_gate. For Xciss/Rgate ≥ 10, the transformation term (Q_in·R_min/ω) is ≪ resonating term — verify with LTspice. C_in: omit in series-resonance regime (Xciss ≥ 3×Rgate).</t>
  </si>
  <si>
    <t xml:space="preserve">C_in  [pF]  ⚠ When Xciss/Rgate ≥ 3 (see H74), C_in has negligible effect. Omit C_in from the circuit; tune L_in empirically.</t>
  </si>
  <si>
    <t xml:space="preserve">Input matching shunt capacitor (pF). C_in = Q_in / (ω × Z_high). Step-DOWN topology (Z_source &gt; R_gate, typical): shunt C at source side, series L toward gate. Q_in is based on R_gate (after Xciss resonant cancellation). ⚠ When Xciss/R_gate ≥ 3 (see H74), C_in contribution is negligible — the dominant effect is the series resonance between L_in and Ciss. In this regime C_in may be omitted or tuned empirically.</t>
  </si>
  <si>
    <t xml:space="preserve">PERFORMANCE ESTIMATES</t>
  </si>
  <si>
    <t xml:space="preserve">Peak Drain Voltage  V_pk = 3.562×(Vcc_eff−Vo)+Vo   where Vcc_eff = Vcc−ΔV   ⚠</t>
  </si>
  <si>
    <t xml:space="preserve">⚠ V_pk = 3.562×(Vcc_eff−Vo) where Vcc_eff = Vcc−ΔV (C16−C35). Peak drain voltage scales with the effective supply voltage — supply droop DOES reduce V_pk. This formula is now consistent with V_eff (C44) and the Coss-loss formula (J94). Vo = 0 for MOSFETs; use Vce(sat) or RCE(sat)×Ic for BJTs (standard Sokal formulation). Under mistuned conditions V_pk can reach 5×Vcc_eff or more. During bench testing/tuning, reduce Vcc to 30% of design value. Choose MOSFET with V_DSS ≥ 3.56×safety_factor×Vcc_eff (see C84).</t>
  </si>
  <si>
    <t xml:space="preserve">Minimum MOSFET V_DSS required  (C37× safety margin — covers bench-tuning where V_pk can reach 5×Vcc)</t>
  </si>
  <si>
    <t xml:space="preserve">V_pk_corrected  (Kazimierczuk 1st-order finite RFC correction)  ℹ</t>
  </si>
  <si>
    <t xml:space="preserve">ℹ 1st-order correction for finite RFC: V_pk×(1+0.6·R/X_RFC) where X_RFC=ω·L_RFC. For RFC=50×R/ω: correction≈+1.2%; for RFC=30×R/ω: +2.0%. Informational only — use C84 for V_DSS safety margin calculations.</t>
  </si>
  <si>
    <t xml:space="preserve">Peak Drain Current  I_pk ≈ 2.862 × I_dc</t>
  </si>
  <si>
    <t xml:space="preserve">I_pk must be ≤ I_D(max) of MOSFET</t>
  </si>
  <si>
    <t xml:space="preserve">DC Supply Current  I_dc  (cross-ref to row 42)</t>
  </si>
  <si>
    <t xml:space="preserve">Average current from supply — same value as row 42; repeated here for proximity to the performance section.</t>
  </si>
  <si>
    <t xml:space="preserve">Predicted η  (Sokal eq.2, based on Rds(on); compare to input η in C21)</t>
  </si>
  <si>
    <t xml:space="preserve">Power Dissipated  P_diss = Vcc·I_dc − P_out</t>
  </si>
  <si>
    <t xml:space="preserve">Device dissipation = power arriving at circuit node minus output = (Vcc−ΔV)×I_dc − P_out. Supply droop ΔV is wiring resistance loss EXTERNAL to the device — correctly excluded from device P_diss. Total power waste = Vcc×I_dc − P_out = P_diss + ΔV×I_dc (wiring). ⚠ For thermal heatsink design: θ_JA calc uses this P_diss (device only) — correct. For PSU sizing: add wiring loss ΔV×I_dc to P_diss. I_dc (C43) uses predicted η (C88) when numeric; falls back to user η (C21).</t>
  </si>
  <si>
    <t xml:space="preserve">ℹ I88 (derated η): Uses original I_dc (C43), not re-computed derated I_dc — first-order estimate; underestimates RFC/Coss loss at derated conditions by ~10-15%. Informational only.</t>
  </si>
  <si>
    <t xml:space="preserve">Max Allowable θ_JA  =  (T_j_max − T_amb) / P_diss</t>
  </si>
  <si>
    <t xml:space="preserve">°C/W</t>
  </si>
  <si>
    <t xml:space="preserve">Denominator uses min(J99, C89). J99 = MOSFET-only losses: 1.365×I_dc²×Rds(on) [I_rms_switch²×Rds; 1.365 from Raab 1977 waveform integration] + P_switching (J98) + P_Coss (J95). NOTE: J98 = switching loss ONLY; J99 = total MOSFET thermal loss. External component losses (ESR_L2, ESR_C2, RFC, C1 ESR) heat passive components NOT the MOSFET die. LDMOS detection via column P in MOSFET Reference Table. Fallback T_j_max: LDMOS→200°C, Si→150°C.</t>
  </si>
  <si>
    <t xml:space="preserve">C2 Coeff Cross-Check:  (C2×ω×R) vs Sokal Table I  |  QL = C19</t>
  </si>
  <si>
    <t xml:space="preserve">Explicit guard for QL &lt; 1.7879 prevents silent errors. Cross-check verifies the Sokal polynomial coefficients in C52 (1.00121, 1.01468, 0.104823, 1.7879). ⚠ NOTE: The RFC correction coefficient (0.2 in C52 and added back as 0.2 in C91) cannot be independently verified by this cross-check because it algebraically cancels out — C91 is tautological with respect to that term. To verify RFC coefficient: compute C52·ω·R at RFC=∞ (omit RFC term) and compare to base Sokal Eq.9. The polynomial coefficients themselves (QL={1.7879,2,2.5,3,5,10,20}) for independent verification of C2. ✔OK = formula within ±0.5% of Table I.</t>
  </si>
  <si>
    <t xml:space="preserve">Thermal Resistance θ_JA  (actual, including heatsink)  [enter for T_j derated η]</t>
  </si>
  <si>
    <t xml:space="preserve">The room-temperature Rds(on) was used in the η formula regardless of junction temperature. Enter actual thermal resistance (junction-to-ambient, including heatsink) here. I86 then shows the derated η at the estimated T_j. For TO-220 with small heatsink: θ_JA ≈ 20–40 °C/W; with large heatsink: 5–15 °C/W; without heatsink (free-air): θ_JA = value from datasheet (e.g. 62 °C/W for TO-92).</t>
  </si>
  <si>
    <t xml:space="preserve">LOW-PASS FILTER </t>
  </si>
  <si>
    <t xml:space="preserve">LPF Cutoff Frequency  fc = 1.40 × f</t>
  </si>
  <si>
    <t xml:space="preserve">5-element Chebyshev (0.1 dB ripple) LPF. Cutoff fc = 1.40×f places the fundamental well within the passband (≤0.1 dB insertion loss at f). The filter provides ~16.6 dBc additional rejection at 2f. The Class-E L2-C2 network inherently attenuates the 2nd harmonic by ~20 dBc (QL=5), so total system rejection at 2f may reach ~35–55 dBc — but this must be verified with LTspice or a spectrum analyser before regulatory submission. g-values (0.1 dB ripple, 5 poles): g1=g5=1.1468, g2=g4=1.3712, g3=1.9750.</t>
  </si>
  <si>
    <t xml:space="preserve">LPF Angular Cutoff  ωc = 2π·fc</t>
  </si>
  <si>
    <t xml:space="preserve">LPF Reference Impedance  Z0</t>
  </si>
  <si>
    <t xml:space="preserve">Typically 50Ω (antenna). Adjust to match actual load.</t>
  </si>
  <si>
    <t xml:space="preserve">LPF L1  (series, 5-el Chebyshev 0.1dB: g1=1.1468)</t>
  </si>
  <si>
    <t xml:space="preserve">5-element Chebyshev LPF (0.1 dB passband ripple, fc = 1.40×f). Topology: series L1 – shunt C2 – series L3 – shunt C4 – series L5. g-values (0.1 dB ripple, 5 poles): g1=g5=1.1468, g2=g4=1.3712, g3=1.9750. L = g×Z0/ωc; C = g/(Z0×ωc). Rolloff: 5-pole ≈ 30 dB/octave. At fc = 1.40×f, the filter alone provides approximately 16–17 dBc rejection at 2f (per formula C109 — the exact value updates with every fc change). The Class-E L2-C2 network adds ~20 dBc at QL = 5; combined total may reach 35–50 dBc but must be verified with LTspice or a spectrum analyser before regulatory submission. ⚠ IARU requires −50 dBc; FCC §97.307 requires −43 dBc. ⚠ All attenuation values assume 50Ω source and load; actual Class-E drain impedance ≠ 50Ω.</t>
  </si>
  <si>
    <t xml:space="preserve">LPF L1  [µH]</t>
  </si>
  <si>
    <t xml:space="preserve">LPF C2  (shunt, 5-el Chebyshev 0.1dB: g2=1.3712)</t>
  </si>
  <si>
    <t xml:space="preserve">C2 = g2/(Z0×ωc). First shunt capacitor. Use NP0/C0G ceramic or silver-mica.</t>
  </si>
  <si>
    <t xml:space="preserve">LPF C2  [pF]</t>
  </si>
  <si>
    <t xml:space="preserve">LPF L3  (series, 5-el Chebyshev 0.1dB: g3=1.9750)</t>
  </si>
  <si>
    <t xml:space="preserve">L3 = g3×Z0/ωc. Centre series inductor. Wind on T50-6 or T68-6 toroid; verify SRF &gt; 10×f.</t>
  </si>
  <si>
    <t xml:space="preserve">LPF L3  [µH]</t>
  </si>
  <si>
    <t xml:space="preserve">LPF C4  (shunt, 5-el Chebyshev 0.1dB: g4=1.3712)</t>
  </si>
  <si>
    <t xml:space="preserve">C4 = g4/(Z0×ωc). Second shunt capacitor. By symmetry g4=g2=1.3712. Use NP0/C0G or silver-mica.</t>
  </si>
  <si>
    <t xml:space="preserve">LPF C4  [pF]</t>
  </si>
  <si>
    <t xml:space="preserve">LPF L5  (series, 5-el Chebyshev 0.1dB: g5=1.1468)</t>
  </si>
  <si>
    <t xml:space="preserve">L5 = g5×Z0/ωc. By symmetry g5=g1=1.1468. Output series inductor toward antenna/load. ⚠ Attenuation values in C104/C105 are calculated for an IDEAL 50Ω source driving the LPF. The actual Class-E drain impedance is not 50Ω (typically R_opt = 5–20Ω + reactive). Even with an L-network, the LPF input source impedance deviates from 50Ω. Actual 2f attenuation may differ ±10–20 dB from these figures. For regulatory compliance, always verify via LTspice simulation or spectrum analyser measurement.</t>
  </si>
  <si>
    <t xml:space="preserve">LPF L5  [µH]</t>
  </si>
  <si>
    <t xml:space="preserve">Attenuation at 2nd harmonic (2f)  ⚠ Assumes ideal 50Ω source — see F106</t>
  </si>
  <si>
    <t xml:space="preserve">dBc</t>
  </si>
  <si>
    <t xml:space="preserve">Attenuation at 3rd harmonic (3f)  ⚠ Assumes ideal 50Ω source — see F107</t>
  </si>
  <si>
    <t xml:space="preserve">LPF Source Impedance Validity Check</t>
  </si>
  <si>
    <t xml:space="preserve">KEY REFERENCES &amp; ONLINE CALCULATORS</t>
  </si>
  <si>
    <t xml:space="preserve">  📄  Sokal N.O., Sokal A.D. — 'Class E, a new class of high-efficiency tuned single-ended switching power amplifiers', IEEE JSSC, June 1975</t>
  </si>
  <si>
    <t xml:space="preserve">  📄  Sokal N.O. — 'Class-E RF Power Amplifiers', QEX Jan/Feb 2001  [WA1HQC — equations used in this calculator]</t>
  </si>
  <si>
    <t xml:space="preserve">  📄  Raab F.H. — 'Idealized operation of the class E tuned power amplifier', IEEE Trans. CAS, Dec. 1977</t>
  </si>
  <si>
    <t xml:space="preserve">  📄  Kazimierczuk &amp; Puczko — 'Exact analysis of class-E tuned power amplifier at any Q and duty ratio', IEEE Trans. CAS, 1987</t>
  </si>
  <si>
    <t xml:space="preserve">  🌐  VK1SV / ANU Online Calculator:  https://people.physics.anu.edu.au/~dxt103/calculators/class-e.php</t>
  </si>
  <si>
    <t xml:space="preserve">  🌐  VK2ZAY (Alan Yates) Class-E Calculator:  http://www.vk2zay.net/calculators/class-E.php</t>
  </si>
  <si>
    <t xml:space="preserve">  🌐  Sigenics Class-E Circuit Calculator:  http://class-e.sigenics.com/</t>
  </si>
  <si>
    <t xml:space="preserve">  🌐  Max Carter Class-E Transmitter Calc:  http://maxmcarter.com/classexmtr/classecalc.html</t>
  </si>
  <si>
    <t xml:space="preserve">  📝  Paul Harden NA5N — NorCal QRP Class-E Article:  https://norcalqrp.org/files/Class_E_Amplifiers.pdf</t>
  </si>
  <si>
    <t xml:space="preserve">  📝  VK1SV Class-E for Beginners:  https://people.physics.anu.edu.au/~dxt103/class-e/</t>
  </si>
  <si>
    <t xml:space="preserve">  📗  Kazimierczuk — 'RF Power Amplifiers', Wiley 2008  (exact analysis, any Q &amp; duty cycle)</t>
  </si>
  <si>
    <t xml:space="preserve">  📗  Cripps S.C. — 'RF Power Amplifiers for Wireless Communications', Artech House 2006</t>
  </si>
  <si>
    <t xml:space="preserve">LPF DIRECT-COUPLED TO DRAIN  (Z_source = R_opt)</t>
  </si>
  <si>
    <t xml:space="preserve">Correct 5-element Chebyshev LPF designed at R_opt (actual Class-E drain impedance) as source. Based on Sokal/Raab equations and Williams &amp; Taylor "Electronic Filter Design Handbook".</t>
  </si>
  <si>
    <t xml:space="preserve">⚠ WHY THE 50Ω LPF IS WRONG FOR DIRECT DRAIN CONNECTION — A Class-E drain presents R_opt (not 50Ω) as its load. A Chebyshev LPF designed for 50Ω source gives WRONG component values: the source-side shunt cap C2 must use R_opt in its formula C=g/(R_opt×ωc), not 50Ω. Using 50Ω makes C2 ≈2× too small, losing 10–20 dB of harmonic rejection at 2f. This sheet computes the correct asymmetric LPF with Z_source=R_opt and Z_load=50Ω. For large impedance ratios (n=Z_load/R_opt &gt; 1.5) an L-network before a symmetric 50Ω LPF (main sheet) is also valid.</t>
  </si>
  <si>
    <t xml:space="preserve">LINKED PARAMETERS  (from Class-E Calculator sheet)</t>
  </si>
  <si>
    <t xml:space="preserve">Operating Frequency  f</t>
  </si>
  <si>
    <t xml:space="preserve">Fundamental — imported from main sheet C18.</t>
  </si>
  <si>
    <t xml:space="preserve">Optimum Load Resistance  R_opt  (Sokal eq.6 — actual drain load)</t>
  </si>
  <si>
    <t xml:space="preserve">R_opt is the real Class-E drain load impedance. This is the CORRECT LPF source impedance when the LPF is directly connected to the drain (no L-network). Typical: 5–50 Ω for HF QRP.</t>
  </si>
  <si>
    <t xml:space="preserve">Load Impedance  Z_load  (antenna / output)</t>
  </si>
  <si>
    <t xml:space="preserve">Typically 50 Ω antenna. Change in main sheet C25.</t>
  </si>
  <si>
    <t xml:space="preserve">Supply Voltage  Vcc</t>
  </si>
  <si>
    <t xml:space="preserve">Used for V_pk and capacitor voltage-rating check.</t>
  </si>
  <si>
    <t xml:space="preserve">Output Power  P_out</t>
  </si>
  <si>
    <t xml:space="preserve">Used for inductor RMS current rating.</t>
  </si>
  <si>
    <t xml:space="preserve">fc=1.40×f keeps fundamental ≤0.1 dB insertion loss in passband. For narrowband or VHF use 1.2×f.</t>
  </si>
  <si>
    <t xml:space="preserve">Impedance Ratio  n = Z_load / R_opt  (step-up)</t>
  </si>
  <si>
    <t xml:space="preserve">n&gt;1 means step-up (R_opt &lt; 50Ω, typical Class-E). n=1 → symmetric Chebyshev (Z0_eff = 50Ω). Shunt-C toward source uses R_opt; shunt-C toward load uses Z_load.</t>
  </si>
  <si>
    <t xml:space="preserve">Z0_eff = √(R_opt × Z_load)  — geometric-mean reference impedance</t>
  </si>
  <si>
    <t xml:space="preserve">Z0_eff = √(R_opt × Z_load). Used to scale all series-L values in the asymmetric ladder. Shunt caps are scaled independently: C_source-side with R_opt, C_load-side with Z_load. (Williams &amp; Taylor, Electronic Filter Design Handbook, 4th ed., §11.2)</t>
  </si>
  <si>
    <t xml:space="preserve">Peak Drain Voltage  V_pk ≈ 3.562 × Vcc  (capacitor voltage-rating reference)</t>
  </si>
  <si>
    <t xml:space="preserve">All LPF capacitors must be rated ≥ 2× V_pk. V_pk = MAX(3.562×(Vcc−ΔV−Vo)+Vo, 3.562×(Vcc−Vo)+Vo). [FIXED: Uses MAX to ensure capacitor voltage rating is never reduced by supply droop ΔV — the drain RF voltage swing is decoupled from DC supply droop by the RFC choke. Using the higher no-droop V_pk conservatively protects LPF capacitors.] Use NP0/C0G or silver-mica ≥100 V for HF QRP.</t>
  </si>
  <si>
    <t xml:space="preserve">RMS Output Current  I_rms = √(P_out / Z_load)  (inductor wire-gauge reference)</t>
  </si>
  <si>
    <t xml:space="preserve">Series inductors L1, L3, L5 carry this current. Min wire: 24 AWG ≤0.5A, 22 AWG ≤1A, 20 AWG ≤2A, 18 AWG ≤3A, 16 AWG ≤5A.</t>
  </si>
  <si>
    <t xml:space="preserve">LPF COMPONENT VALUES  (5-element Chebyshev 0.1 dB, Z_source=R_opt → Z_load=50Ω)</t>
  </si>
  <si>
    <t xml:space="preserve">LPF L1  (series, 5-el Chebyshev 0.1 dB: g1=1.1468)  — drain-side series inductor</t>
  </si>
  <si>
    <t xml:space="preserve">L1 = g1 × Z0_eff / ωc. First series inductor from drain node. Wind on T50-6 or T68-6; verify SRF &gt; 10×f.</t>
  </si>
  <si>
    <t xml:space="preserve">LPF C2  (shunt to GND, 5-el Chebyshev 0.1 dB: g2=1.3712)  — source-side shunt cap</t>
  </si>
  <si>
    <t xml:space="preserve">⚠ C2 = g2/(R_opt×ωc) uses R_opt (not 50Ω) as source impedance. This is the shunt cap closest to the drain. Use NP0/C0G or silver-mica rated ≥2× V_pk.</t>
  </si>
  <si>
    <t xml:space="preserve">LPF L3  (series, 5-el Chebyshev 0.1 dB: g3=1.9750)  — centre series inductor</t>
  </si>
  <si>
    <t xml:space="preserve">L3 = g3 × Z0_eff / ωc. Largest series inductor; centre of the ladder. Wind on T50-6 or T68-6.</t>
  </si>
  <si>
    <t xml:space="preserve">LPF C4  (shunt to GND, 5-el Chebyshev 0.1 dB: g4=1.3712)  — load-side shunt cap</t>
  </si>
  <si>
    <t xml:space="preserve">C4 = g4/(Z_load×ωc) uses Z_load=50Ω. Note C4 ≠ C2 (asymmetric terminations). Place close to the antenna connector. NP0/C0G or silver-mica.</t>
  </si>
  <si>
    <t xml:space="preserve">LPF L5  (series, 5-el Chebyshev 0.1 dB: g5=1.1468)  — antenna-side series inductor</t>
  </si>
  <si>
    <t xml:space="preserve">L5 = g5 × Z0_eff / ωc. By symmetry L5=L1. Output series inductor toward antenna/load. L1=L5 always (symmetric g1=g5); only C2≠C4 due to unequal terminations.</t>
  </si>
  <si>
    <t xml:space="preserve">Attenuation at 2nd harmonic (2f)  ⚠ UPPER BOUND — symmetric formula used; actual can be 10–20 dB lower for n≠1</t>
  </si>
  <si>
    <t xml:space="preserve">Attenuation at 3rd harmonic (3f)  ⚠ UPPER BOUND — symmetric formula used; actual can be 10–20 dB lower for n≠1</t>
  </si>
  <si>
    <t xml:space="preserve">LPF DIRECT-COUPLED TO DRAIN  (7-pole, Z_source = R_opt)</t>
  </si>
  <si>
    <t xml:space="preserve">Correct 7-element Chebyshev LPF designed at R_opt (actual Class-E drain impedance) as source. Based on Sokal/Raab equations and Williams &amp; Taylor "Electronic Filter Design Handbook". Seven poles provide ≥14 dB additional stopband rejection vs. the 5-pole design, targeting −65 dBc or better at 2f.</t>
  </si>
  <si>
    <t xml:space="preserve">⚠ WHY THE 50Ω LPF IS WRONG FOR DIRECT DRAIN CONNECTION — A Class-E drain presents R_opt (not 50Ω) as its load. A Chebyshev LPF designed for 50Ω source gives WRONG component values: the source-side shunt cap C2 must use R_opt in its formula C=g/(R_opt×ωc), not 50Ω. Using 50Ω makes C2 ≈2× too small, losing 10–20 dB of harmonic rejection at 2f. This sheet computes the correct asymmetric 7-pole LPF with Z_source=R_opt and Z_load=50Ω. For large impedance ratios (n=Z_load/R_opt &gt; 1.5) an L-network before a symmetric 50Ω LPF (main sheet) is also valid.</t>
  </si>
  <si>
    <t xml:space="preserve">n&gt;1 means step-up (R_opt &lt; 50Ω, typical Class-E). n=1 → symmetric Chebyshev (Z0_eff = 50Ω). Shunt-C toward source uses R_opt; centre shunt-C uses Z0_eff; shunt-C toward load uses Z_load.</t>
  </si>
  <si>
    <t xml:space="preserve">Z0_eff = √(R_opt × Z_load). Used to scale all series-L values. Shunt caps: C2 with R_opt, C4 with Z0_eff, C6 with Z_load. (Williams &amp; Taylor, Electronic Filter Design Handbook, 4th ed., §11.2)</t>
  </si>
  <si>
    <t xml:space="preserve">Series inductors L1, L3, L5, L7 carry this current. Min wire: 24 AWG ≤0.5A, 22 AWG ≤1A, 20 AWG ≤2A, 18 AWG ≤3A, 16 AWG ≤5A.</t>
  </si>
  <si>
    <t xml:space="preserve">LPF COMPONENT VALUES  (7-element Chebyshev 0.1 dB, Z_source=R_opt → Z_load=50Ω)</t>
  </si>
  <si>
    <t xml:space="preserve">LPF L1  (series, 7-el Chebyshev 0.1 dB: g1=1.1812)  — drain-side series inductor</t>
  </si>
  <si>
    <t xml:space="preserve">LPF C2  (shunt to GND, 7-el Chebyshev 0.1 dB: g2=1.4228)  — source-side shunt cap</t>
  </si>
  <si>
    <t xml:space="preserve">LPF L3  (series, 7-el Chebyshev 0.1 dB: g3=2.0967)  — second series inductor</t>
  </si>
  <si>
    <t xml:space="preserve">L3 = g3 × Z0_eff / ωc. Second series inductor in the ladder. Wind on T50-6 or T68-6.</t>
  </si>
  <si>
    <t xml:space="preserve">LPF C4  (shunt to GND, 7-el Chebyshev 0.1 dB: g4=1.5734)  — centre shunt cap</t>
  </si>
  <si>
    <t xml:space="preserve">C4 = g4/(Z0_eff×ωc) uses Z0_eff=√(R_opt×Z_load) as the reference impedance for the centre shunt capacitor. [CORRECTED: Previous version incorrectly used R_opt, over-sizing C4 by up to 24% for typical n=1.55 and degrading 2f stopband rejection by 3–7 dB. The correct asymmetric ladder formula (Williams &amp; Taylor, Electronic Filter Design Handbook, §11.2) uses Z0_eff for the centre element, R_opt for the source-side cap (C2), and Z_load for the load-side cap (C6).] NP0/C0G or silver-mica; rated ≥2× V_pk. Verify final design with LTspice.</t>
  </si>
  <si>
    <t xml:space="preserve">LPF L5  (series, 7-el Chebyshev 0.1 dB: g5=2.0967)  — third series inductor</t>
  </si>
  <si>
    <t xml:space="preserve">L5 = g5 × Z0_eff / ωc. Third series inductor. By symmetry L5=L3. Wind on T50-6 or T68-6.</t>
  </si>
  <si>
    <t xml:space="preserve">LPF C6  (shunt to GND, 7-el Chebyshev 0.1 dB: g6=1.4228)  — load-side shunt cap</t>
  </si>
  <si>
    <t xml:space="preserve">C6 = g6/(Z_load×ωc) uses Z_load=50Ω. Note C6 ≠ C2 ≠ C4 (asymmetric terminations). Place close to the antenna connector. NP0/C0G or silver-mica.</t>
  </si>
  <si>
    <t xml:space="preserve">LPF C6  [pF]</t>
  </si>
  <si>
    <t xml:space="preserve">LPF L7  (series, 7-el Chebyshev 0.1 dB: g7=1.1812)  — antenna-side series inductor</t>
  </si>
  <si>
    <t xml:space="preserve">L7 = g7 × Z0_eff / ωc. By symmetry L7=L1. Output series inductor toward antenna/load. L1=L7 always (symmetric g1=g7 for odd-order Chebyshev).</t>
  </si>
  <si>
    <t xml:space="preserve">LPF L7  [µH]</t>
  </si>
  <si>
    <t xml:space="preserve">CLASS-E RF AMPLIFIER  ·  5-POLE CHEBYSHEV LPF  (Direct Drain)</t>
  </si>
  <si>
    <t xml:space="preserve">Correct 5-element Chebyshev LPF (0.1 dB ripple) · Z_source = R_opt · Z_load = 50 Ω</t>
  </si>
  <si>
    <t xml:space="preserve">                                                                                                                          </t>
  </si>
  <si>
    <t xml:space="preserve">  POWER SUPPLY &amp; RFC CHOKE                                                                                               </t>
  </si>
  <si>
    <t xml:space="preserve">   +Vcc                                                                                                                   </t>
  </si>
  <si>
    <t xml:space="preserve">     |                                                                                                                    </t>
  </si>
  <si>
    <t xml:space="preserve">   [RFC]  &lt;── RF choke, isolates DC from RF                                                                              </t>
  </si>
  <si>
    <t xml:space="preserve">     +───DRAIN───(NET)                        </t>
  </si>
  <si>
    <t xml:space="preserve">     |</t>
  </si>
  <si>
    <t xml:space="preserve">  [MOSFET]───SOURCE───GND</t>
  </si>
  <si>
    <t xml:space="preserve"> Gate (RF)</t>
  </si>
  <si>
    <t xml:space="preserve">            SERIES NETWORK         5-POLE CHEBYSHEV LPF </t>
  </si>
  <si>
    <t xml:space="preserve">           ───────────────     ────────────────────────────</t>
  </si>
  <si>
    <t xml:space="preserve">             L2       C2       LPF-L1     LPF-L3     LPF-L5 </t>
  </si>
  <si>
    <t xml:space="preserve">(NET)───+───LLLL──────||────────LLLL───+───LLLL───+───LLLL──────────(ANT)                    </t>
  </si>
  <si>
    <t xml:space="preserve">        |                              |          |                  50Ω                          </t>
  </si>
  <si>
    <t xml:space="preserve">       [C1] &lt;── shunt cap          LPF-C2sh   LPF-C4sh</t>
  </si>
  <si>
    <t xml:space="preserve">        |      drain-to-GND            |          |</t>
  </si>
  <si>
    <t xml:space="preserve">       GND                            GND        GND</t>
  </si>
  <si>
    <t xml:space="preserve">  NOTES:                                                                                                                  </t>
  </si>
  <si>
    <t xml:space="preserve">  · C1 total = Coss_eff + C1_ext  (subtract MOSFET Coss from table value to get external cap)                           </t>
  </si>
  <si>
    <t xml:space="preserve">  · L2-C2 form the series resonant tank; L_ser (informational) is built into L2 by design                               </t>
  </si>
  <si>
    <t xml:space="preserve">  · LPF C2 uses R_opt as source impedance (NOT 50Ω); see LPF Direct 5-poles sheet for derivation                       </t>
  </si>
  <si>
    <t xml:space="preserve">  · LPF C4 uses Z_load = 50 Ω as load impedance (asymmetric terminations)                                               </t>
  </si>
  <si>
    <t xml:space="preserve">  · All capacitors: NP0/C0G ceramic or silver-mica rated ≥ 2 × Vpk                                                      </t>
  </si>
  <si>
    <t xml:space="preserve">  · All inductors: verify SRF &gt; 10 × operating frequency                                                                 </t>
  </si>
  <si>
    <t xml:space="preserve">  · Verify full design with LTspice before regulatory submission                                                          </t>
  </si>
  <si>
    <t xml:space="preserve">COMPONENT VALUES  (5% Standard — linked from calculated sheets)</t>
  </si>
  <si>
    <t xml:space="preserve">Ref</t>
  </si>
  <si>
    <t xml:space="preserve">Description</t>
  </si>
  <si>
    <t xml:space="preserve">Source sheet / note</t>
  </si>
  <si>
    <t xml:space="preserve">RFC</t>
  </si>
  <si>
    <t xml:space="preserve">RF Choke (≥50·R/ω)</t>
  </si>
  <si>
    <t xml:space="preserve">Class-E Calculator  E55</t>
  </si>
  <si>
    <t xml:space="preserve">C1</t>
  </si>
  <si>
    <t xml:space="preserve">Shunt cap  drain-to-GND (total)</t>
  </si>
  <si>
    <t xml:space="preserve">Class-E Calculator  E49  (incl. Coss_eff)</t>
  </si>
  <si>
    <t xml:space="preserve">L2</t>
  </si>
  <si>
    <t xml:space="preserve">Series resonant inductor</t>
  </si>
  <si>
    <t xml:space="preserve">Class-E Calculator  E51</t>
  </si>
  <si>
    <t xml:space="preserve">C2</t>
  </si>
  <si>
    <t xml:space="preserve">Series resonant capacitor</t>
  </si>
  <si>
    <t xml:space="preserve">Class-E Calculator  E53</t>
  </si>
  <si>
    <t xml:space="preserve">LPF-L1</t>
  </si>
  <si>
    <t xml:space="preserve">LPF series inductor (drain side)</t>
  </si>
  <si>
    <t xml:space="preserve">LPF Direct 5-poles  E29</t>
  </si>
  <si>
    <t xml:space="preserve">LPF-C2</t>
  </si>
  <si>
    <t xml:space="preserve">LPF shunt cap (source side, R_opt)</t>
  </si>
  <si>
    <t xml:space="preserve">LPF Direct 5-poles  E31</t>
  </si>
  <si>
    <t xml:space="preserve">LPF-L3</t>
  </si>
  <si>
    <t xml:space="preserve">LPF centre series inductor</t>
  </si>
  <si>
    <t xml:space="preserve">LPF Direct 5-poles  E33</t>
  </si>
  <si>
    <t xml:space="preserve">LPF-C4</t>
  </si>
  <si>
    <t xml:space="preserve">LPF shunt cap (load side, 50Ω)</t>
  </si>
  <si>
    <t xml:space="preserve">LPF Direct 5-poles  E35</t>
  </si>
  <si>
    <t xml:space="preserve">LPF-L5</t>
  </si>
  <si>
    <t xml:space="preserve">LPF series inductor (antenna side)</t>
  </si>
  <si>
    <t xml:space="preserve">LPF Direct 5-poles  E37</t>
  </si>
  <si>
    <t xml:space="preserve">LINKED PARAMETERS  (from Class-E Calculator)</t>
  </si>
  <si>
    <t xml:space="preserve">R_opt (Class-E drain load)</t>
  </si>
  <si>
    <t xml:space="preserve">Supply Voltage Vcc</t>
  </si>
  <si>
    <t xml:space="preserve">Output Power P_out</t>
  </si>
  <si>
    <t xml:space="preserve">LPF Cutoff fc = 1.40 × f</t>
  </si>
  <si>
    <t xml:space="preserve">Atten. @ 2f (upper bound)</t>
  </si>
  <si>
    <t xml:space="preserve">Atten. @ 3f (upper bound)</t>
  </si>
  <si>
    <t xml:space="preserve">CLASS-E RF AMPLIFIER  ·  7-POLE CHEBYSHEV LPF  (Direct Drain)</t>
  </si>
  <si>
    <t xml:space="preserve">Correct 7-element Chebyshev LPF (0.1 dB ripple) · Z_source = R_opt · Z_load = 50 Ω</t>
  </si>
  <si>
    <t xml:space="preserve">            SERIES NETWORK               7-POLE CHEBYSHEV LPF </t>
  </si>
  <si>
    <t xml:space="preserve">           ───────────────     ──────────────────────────────────────</t>
  </si>
  <si>
    <t xml:space="preserve">             L2       C2       LPF-L1     LPF-L3     LPF-L5     LPF-7</t>
  </si>
  <si>
    <t xml:space="preserve">(NET)───+───LLLL──────||────────LLLL───+───LLLL───+───LLLL───+───LLLL───────(ANT)                    </t>
  </si>
  <si>
    <t xml:space="preserve">        |                              |          |          |               50Ω                          </t>
  </si>
  <si>
    <t xml:space="preserve">       [C1] &lt;── shunt cap          LPF-C2sh   LPF-C4sh   LPF-C6sh</t>
  </si>
  <si>
    <t xml:space="preserve">        |      drain-to-GND            |          |          |</t>
  </si>
  <si>
    <t xml:space="preserve">       GND                            GND        GND        GND</t>
  </si>
  <si>
    <t xml:space="preserve">                                                                                                                                      </t>
  </si>
  <si>
    <t xml:space="preserve">  NOTES:                                                                                                                              </t>
  </si>
  <si>
    <t xml:space="preserve">  · 7-pole provides ~14 dB MORE rejection vs 5-pole at all harmonics — preferred for IARU/FCC compliance                             </t>
  </si>
  <si>
    <t xml:space="preserve">  · C1 total = Coss_eff + C1_ext  (subtract MOSFET Coss from table value to get external cap)                                       </t>
  </si>
  <si>
    <t xml:space="preserve">  · L2-C2 form the series resonant tank; L_ser (informational) is built into L2 by design                                           </t>
  </si>
  <si>
    <t xml:space="preserve">  · LPF C2 uses R_opt as source impedance; LPF C4 uses Z0_eff = √(R_opt×Z_load); LPF C6 uses Z_load = 50Ω                         </t>
  </si>
  <si>
    <t xml:space="preserve">  · ASYMMETRIC FILTER: n = Z_load/R_opt  determines capacitor scaling — see LPF Direct 7-pole sheet                                  </t>
  </si>
  <si>
    <t xml:space="preserve">  · All capacitors: NP0/C0G ceramic or silver-mica rated ≥ 2 × Vpk                                                                  </t>
  </si>
  <si>
    <t xml:space="preserve">  · All inductors: verify SRF &gt; 10 × operating frequency                                                                             </t>
  </si>
  <si>
    <t xml:space="preserve">  · Verify full design with LTspice before regulatory submission                                                                      </t>
  </si>
  <si>
    <t xml:space="preserve">LPF Direct 7-pole  E29</t>
  </si>
  <si>
    <t xml:space="preserve">LPF Direct 7-pole  E31</t>
  </si>
  <si>
    <t xml:space="preserve">LPF 2nd series inductor</t>
  </si>
  <si>
    <t xml:space="preserve">LPF Direct 7-pole  E33</t>
  </si>
  <si>
    <t xml:space="preserve">LPF centre shunt cap (Z0_eff)</t>
  </si>
  <si>
    <t xml:space="preserve">LPF Direct 7-pole  E35</t>
  </si>
  <si>
    <t xml:space="preserve">LPF 3rd series inductor</t>
  </si>
  <si>
    <t xml:space="preserve">LPF Direct 7-pole  E37</t>
  </si>
  <si>
    <t xml:space="preserve">LPF-C6</t>
  </si>
  <si>
    <t xml:space="preserve">LPF Direct 7-pole  E39</t>
  </si>
  <si>
    <t xml:space="preserve">LPF-L7</t>
  </si>
  <si>
    <t xml:space="preserve">LPF Direct 7-pole  E41</t>
  </si>
  <si>
    <t xml:space="preserve">All parameters are typical values from manufacturer datasheets.</t>
  </si>
  <si>
    <t xml:space="preserve">Part No.</t>
  </si>
  <si>
    <t xml:space="preserve">Package</t>
  </si>
  <si>
    <t xml:space="preserve">V_DSS
(V)</t>
  </si>
  <si>
    <t xml:space="preserve">I_D
(A)</t>
  </si>
  <si>
    <t xml:space="preserve">R_ds(on)
(Ω)</t>
  </si>
  <si>
    <t xml:space="preserve">C_iss
(pF)</t>
  </si>
  <si>
    <t xml:space="preserve">C_oss
(pF)</t>
  </si>
  <si>
    <t xml:space="preserve">P_D
(W)</t>
  </si>
  <si>
    <t xml:space="preserve">f_T
(MHz)</t>
  </si>
  <si>
    <t xml:space="preserve">Typical
P_RF (W)</t>
  </si>
  <si>
    <t xml:space="preserve">RF Freq
Range</t>
  </si>
  <si>
    <t xml:space="preserve">Applications &amp; Notes</t>
  </si>
  <si>
    <t xml:space="preserve">T_j max
(°C)</t>
  </si>
  <si>
    <t xml:space="preserve">V_gs(th)
(V)</t>
  </si>
  <si>
    <t xml:space="preserve">Coss Scale (Empirical. Use Coss,er from datasheet when available)</t>
  </si>
  <si>
    <t xml:space="preserve">Device
Type</t>
  </si>
  <si>
    <t xml:space="preserve">Rds_T_exp</t>
  </si>
  <si>
    <t xml:space="preserve">TO-92</t>
  </si>
  <si>
    <t xml:space="preserve">≤0.5</t>
  </si>
  <si>
    <t xml:space="preserve">HF ≤14 MHz</t>
  </si>
  <si>
    <t xml:space="preserve">QRP Class-E staple; WSPR &amp; CW beacons 160m–20m; small SOT-23 alt. also available</t>
  </si>
  <si>
    <t xml:space="preserve">0.8–2.4</t>
  </si>
  <si>
    <t xml:space="preserve">Si-planar</t>
  </si>
  <si>
    <t xml:space="preserve">2N7000</t>
  </si>
  <si>
    <t xml:space="preserve">≤0.3</t>
  </si>
  <si>
    <t xml:space="preserve">HF ≤7 MHz</t>
  </si>
  <si>
    <t xml:space="preserve">Similar to BS170; popular in micro-power QRP Class-E</t>
  </si>
  <si>
    <t xml:space="preserve">0.8–3.0</t>
  </si>
  <si>
    <t xml:space="preserve">IRF510</t>
  </si>
  <si>
    <t xml:space="preserve">TO-220</t>
  </si>
  <si>
    <t xml:space="preserve">5–30</t>
  </si>
  <si>
    <t xml:space="preserve">HF ≤18 MHz</t>
  </si>
  <si>
    <t xml:space="preserve">The classic ham MOSFET; cheap, available, used in thousands of QRP kits</t>
  </si>
  <si>
    <t xml:space="preserve">2.0–4.0</t>
  </si>
  <si>
    <t xml:space="preserve">Si-DMOS</t>
  </si>
  <si>
    <t xml:space="preserve">IRF520</t>
  </si>
  <si>
    <t xml:space="preserve">10–40</t>
  </si>
  <si>
    <t xml:space="preserve">Higher current IRF510; good 40–80m medium-power Class-E</t>
  </si>
  <si>
    <t xml:space="preserve">IRF530</t>
  </si>
  <si>
    <t xml:space="preserve">20–80</t>
  </si>
  <si>
    <t xml:space="preserve">HF ≤30 MHz</t>
  </si>
  <si>
    <t xml:space="preserve">Higher Coss but more power; push-pull Class-E to 80W, 80m–10m</t>
  </si>
  <si>
    <t xml:space="preserve">IRF540</t>
  </si>
  <si>
    <t xml:space="preserve">50–150</t>
  </si>
  <si>
    <t xml:space="preserve">HF ≤10 MHz</t>
  </si>
  <si>
    <t xml:space="preserve">High current; great 160m–40m; high Coss makes tuning more critical</t>
  </si>
  <si>
    <t xml:space="preserve">IRFZ44N</t>
  </si>
  <si>
    <t xml:space="preserve">50–200</t>
  </si>
  <si>
    <t xml:space="preserve">MF/LF ≤1 MHz</t>
  </si>
  <si>
    <t xml:space="preserve">Excellent VLF/MF/LF (136 kHz, 472 kHz) high-power Class-E; very low Rdson</t>
  </si>
  <si>
    <t xml:space="preserve">FQP13N10</t>
  </si>
  <si>
    <t xml:space="preserve">20–60</t>
  </si>
  <si>
    <t xml:space="preserve">Popular in QRP kits; alternative to IRF530; good HF performance</t>
  </si>
  <si>
    <t xml:space="preserve">RD16HVF1</t>
  </si>
  <si>
    <t xml:space="preserve">LDMOS SM</t>
  </si>
  <si>
    <t xml:space="preserve">16</t>
  </si>
  <si>
    <t xml:space="preserve">HF–VHF ≤175 MHz</t>
  </si>
  <si>
    <t xml:space="preserve">RF-optimised LDMOS; excellent 10m–40m Class-E; very low Coss advantage</t>
  </si>
  <si>
    <t xml:space="preserve">1.5–4.0</t>
  </si>
  <si>
    <t xml:space="preserve">LDMOS</t>
  </si>
  <si>
    <t xml:space="preserve">RD06HVF1</t>
  </si>
  <si>
    <t xml:space="preserve">6</t>
  </si>
  <si>
    <t xml:space="preserve">Lower power LDMOS; QRP Class-E to 50 MHz; clean spectrum</t>
  </si>
  <si>
    <t xml:space="preserve">BLF574</t>
  </si>
  <si>
    <t xml:space="preserve">SOT539</t>
  </si>
  <si>
    <t xml:space="preserve">300</t>
  </si>
  <si>
    <t xml:space="preserve">Professional LDMOS; very high efficiency; expensive but superb</t>
  </si>
  <si>
    <t xml:space="preserve">1.5–3.5</t>
  </si>
  <si>
    <t xml:space="preserve">IXFN55N50</t>
  </si>
  <si>
    <t xml:space="preserve">TO-264</t>
  </si>
  <si>
    <t xml:space="preserve">500+</t>
  </si>
  <si>
    <t xml:space="preserve">VLF/LF/MF</t>
  </si>
  <si>
    <t xml:space="preserve">500 V rated; handles &gt;10 kV peak drain; ideal for VLF/LF/MF (136 kHz, 472 kHz) high-power Class-E. fT=0 in table (no RF fT spec) — RF capability warning suppressed for VLF/LF designs (&lt;1 MHz).</t>
  </si>
  <si>
    <t xml:space="preserve">2SK2231</t>
  </si>
  <si>
    <t xml:space="preserve">10–20</t>
  </si>
  <si>
    <t xml:space="preserve">Japanese RF MOSFET; excellent 160m–80m Class-E; good efficiency</t>
  </si>
  <si>
    <t xml:space="preserve">1.0–3.0</t>
  </si>
  <si>
    <t xml:space="preserve">MRF101AN</t>
  </si>
  <si>
    <t xml:space="preserve">NI-780</t>
  </si>
  <si>
    <t xml:space="preserve">100</t>
  </si>
  <si>
    <t xml:space="preserve">NXP HF power LDMOS; designed for HF SSB/FM; excellent Class-E candidate. ⚠ I_D=10A in column D is the CONTINUOUS drain current rating; pulsed I_D(pulsed)=20A. Continuous I_pk (C84) must be ≤ 10A.</t>
  </si>
  <si>
    <t xml:space="preserve">IRFP250</t>
  </si>
  <si>
    <t xml:space="preserve">TO-247</t>
  </si>
  <si>
    <t xml:space="preserve">80–150</t>
  </si>
  <si>
    <t xml:space="preserve">200V rating gives headroom at high Vcc; popular in medium-power 160m–80m designs</t>
  </si>
  <si>
    <t xml:space="preserve">VN66AF</t>
  </si>
  <si>
    <t xml:space="preserve">TO-202</t>
  </si>
  <si>
    <t xml:space="preserve">2–5</t>
  </si>
  <si>
    <t xml:space="preserve">⚠ OBSOLETE (discontinued by Siliconix/Vishay ~2010). Old Siliconix RF MOSFET; used by Sokal in original Class-E papers up to 145 MHz. Replace with BS170, 2N7000, or BF862 for new designs.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</si>
</sst>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#"/>
    <numFmt numFmtId="167" formatCode="0"/>
    <numFmt numFmtId="168" formatCode="0.00"/>
  </numFmts>
  <fonts count="3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ntarell Light"/>
      <family val="0"/>
      <charset val="1"/>
    </font>
    <font>
      <b val="true"/>
      <sz val="11"/>
      <name val="Cantarell Light"/>
      <family val="0"/>
      <charset val="1"/>
    </font>
    <font>
      <b val="true"/>
      <sz val="11"/>
      <color rgb="FFEEEEEE"/>
      <name val="Cantarell Light"/>
      <family val="0"/>
      <charset val="1"/>
    </font>
    <font>
      <b val="true"/>
      <sz val="12"/>
      <name val="Cantarell Light"/>
      <family val="0"/>
      <charset val="1"/>
    </font>
    <font>
      <b val="true"/>
      <sz val="9"/>
      <name val="Cantarell Light"/>
      <family val="0"/>
      <charset val="1"/>
    </font>
    <font>
      <b val="true"/>
      <sz val="10"/>
      <color rgb="FF0000FF"/>
      <name val="Cantarell Light"/>
      <family val="0"/>
      <charset val="1"/>
    </font>
    <font>
      <b val="true"/>
      <sz val="10"/>
      <name val="Cantarell Light"/>
      <family val="0"/>
      <charset val="1"/>
    </font>
    <font>
      <b val="true"/>
      <sz val="8.5"/>
      <color rgb="FF555555"/>
      <name val="Cantarell Light"/>
      <family val="0"/>
      <charset val="1"/>
    </font>
    <font>
      <b val="true"/>
      <i val="true"/>
      <sz val="8.5"/>
      <name val="Cantarell Light"/>
      <family val="0"/>
      <charset val="1"/>
    </font>
    <font>
      <b val="true"/>
      <sz val="8.5"/>
      <name val="Cantarell Light"/>
      <family val="0"/>
      <charset val="1"/>
    </font>
    <font>
      <i val="true"/>
      <sz val="11"/>
      <name val="Cambria"/>
      <family val="0"/>
      <charset val="1"/>
    </font>
    <font>
      <b val="true"/>
      <i val="true"/>
      <sz val="8.5"/>
      <color rgb="FF555555"/>
      <name val="Cantarell Light"/>
      <family val="0"/>
      <charset val="1"/>
    </font>
    <font>
      <b val="true"/>
      <sz val="12"/>
      <color rgb="FF000000"/>
      <name val="Cantarell Light"/>
      <family val="0"/>
      <charset val="1"/>
    </font>
    <font>
      <b val="true"/>
      <sz val="11"/>
      <color rgb="FF3465A4"/>
      <name val="Cantarell Light"/>
      <family val="0"/>
      <charset val="1"/>
    </font>
    <font>
      <sz val="11"/>
      <color rgb="FF000000"/>
      <name val="Cantarell Light"/>
      <family val="0"/>
      <charset val="1"/>
    </font>
    <font>
      <sz val="11"/>
      <name val="Calibri"/>
      <family val="2"/>
      <charset val="1"/>
    </font>
    <font>
      <b val="true"/>
      <u val="single"/>
      <sz val="12"/>
      <color rgb="FF000000"/>
      <name val="Cantarell Light"/>
      <family val="0"/>
      <charset val="1"/>
    </font>
    <font>
      <b val="true"/>
      <sz val="9"/>
      <color rgb="FFFF880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9"/>
      <color rgb="FF000000"/>
      <name val="Cantarell Light"/>
      <family val="0"/>
      <charset val="1"/>
    </font>
    <font>
      <b val="true"/>
      <sz val="10"/>
      <color rgb="FF000000"/>
      <name val="Cantarell Light"/>
      <family val="0"/>
      <charset val="1"/>
    </font>
    <font>
      <sz val="10"/>
      <color rgb="FF000000"/>
      <name val="Cantarell Light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3465A4"/>
      <name val="Arial"/>
      <family val="0"/>
      <charset val="1"/>
    </font>
    <font>
      <sz val="9"/>
      <color rgb="FF000000"/>
      <name val="Courier New"/>
      <family val="0"/>
      <charset val="1"/>
    </font>
    <font>
      <b val="true"/>
      <sz val="11"/>
      <color rgb="FF000000"/>
      <name val="FreeMono"/>
      <family val="3"/>
      <charset val="1"/>
    </font>
    <font>
      <sz val="12"/>
      <color rgb="FF000000"/>
      <name val="Cantarell Light"/>
      <family val="0"/>
      <charset val="1"/>
    </font>
    <font>
      <b val="true"/>
      <sz val="12"/>
      <color rgb="FF3465A4"/>
      <name val="Cantarell Light"/>
      <family val="0"/>
      <charset val="1"/>
    </font>
    <font>
      <sz val="9"/>
      <name val="Cantarell Light"/>
      <family val="0"/>
      <charset val="1"/>
    </font>
    <font>
      <sz val="11"/>
      <name val="Cantarell Ligh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10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7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1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9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3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33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88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4" activeCellId="0" sqref="B14"/>
    </sheetView>
  </sheetViews>
  <sheetFormatPr defaultColWidth="8.640625" defaultRowHeight="15" customHeight="false" zeroHeight="false" outlineLevelRow="0" outlineLevelCol="0"/>
  <cols>
    <col collapsed="false" customWidth="true" hidden="false" outlineLevel="0" max="1" min="1" style="1" width="2.55"/>
    <col collapsed="false" customWidth="true" hidden="false" outlineLevel="0" max="2" min="2" style="1" width="79.55"/>
    <col collapsed="false" customWidth="true" hidden="false" outlineLevel="0" max="3" min="3" style="2" width="22.9"/>
    <col collapsed="false" customWidth="true" hidden="false" outlineLevel="0" max="4" min="4" style="1" width="6.72"/>
    <col collapsed="false" customWidth="true" hidden="false" outlineLevel="0" max="5" min="5" style="3" width="22.53"/>
    <col collapsed="false" customWidth="true" hidden="false" outlineLevel="0" max="6" min="6" style="4" width="69.56"/>
    <col collapsed="false" customWidth="true" hidden="false" outlineLevel="0" max="7" min="7" style="4" width="38.33"/>
    <col collapsed="false" customWidth="true" hidden="false" outlineLevel="0" max="8" min="8" style="3" width="45.29"/>
    <col collapsed="false" customWidth="true" hidden="false" outlineLevel="0" max="9" min="9" style="3" width="41.95"/>
    <col collapsed="false" customWidth="true" hidden="true" outlineLevel="0" max="10" min="10" style="4" width="2.55"/>
    <col collapsed="false" customWidth="true" hidden="false" outlineLevel="0" max="11" min="11" style="3" width="2.55"/>
    <col collapsed="false" customWidth="false" hidden="false" outlineLevel="0" max="12" min="12" style="3" width="8.64"/>
    <col collapsed="false" customWidth="false" hidden="false" outlineLevel="0" max="256" min="13" style="1" width="8.64"/>
    <col collapsed="false" customWidth="false" hidden="false" outlineLevel="0" max="16383" min="257" style="5" width="8.64"/>
    <col collapsed="false" customWidth="true" hidden="false" outlineLevel="0" max="16384" min="16384" style="5" width="11.53"/>
  </cols>
  <sheetData>
    <row r="1" customFormat="false" ht="15" hidden="false" customHeight="false" outlineLevel="0" collapsed="false">
      <c r="A1" s="6"/>
      <c r="B1" s="7"/>
      <c r="C1" s="7"/>
      <c r="D1" s="6"/>
      <c r="E1" s="8"/>
      <c r="F1" s="9"/>
      <c r="G1" s="9"/>
      <c r="H1" s="8"/>
      <c r="I1" s="8"/>
      <c r="J1" s="10"/>
      <c r="K1" s="8"/>
    </row>
    <row r="2" customFormat="false" ht="16.4" hidden="false" customHeight="false" outlineLevel="0" collapsed="false">
      <c r="A2" s="6"/>
      <c r="B2" s="11" t="s">
        <v>0</v>
      </c>
      <c r="C2" s="11"/>
      <c r="D2" s="12"/>
      <c r="E2" s="11"/>
      <c r="F2" s="12"/>
      <c r="G2" s="12"/>
      <c r="H2" s="11"/>
      <c r="I2" s="8"/>
      <c r="J2" s="10"/>
      <c r="K2" s="8"/>
    </row>
    <row r="3" customFormat="false" ht="15" hidden="false" customHeight="false" outlineLevel="0" collapsed="false">
      <c r="A3" s="6"/>
      <c r="B3" s="13" t="s">
        <v>1</v>
      </c>
      <c r="C3" s="11"/>
      <c r="D3" s="12"/>
      <c r="E3" s="11"/>
      <c r="F3" s="12"/>
      <c r="G3" s="12"/>
      <c r="H3" s="11"/>
      <c r="I3" s="8"/>
      <c r="J3" s="10"/>
      <c r="K3" s="8"/>
    </row>
    <row r="4" customFormat="false" ht="15" hidden="false" customHeight="false" outlineLevel="0" collapsed="false">
      <c r="A4" s="6"/>
      <c r="B4" s="14" t="s">
        <v>2</v>
      </c>
      <c r="C4" s="11"/>
      <c r="D4" s="12"/>
      <c r="E4" s="11"/>
      <c r="F4" s="12"/>
      <c r="G4" s="12"/>
      <c r="H4" s="11"/>
      <c r="I4" s="8"/>
      <c r="J4" s="10"/>
      <c r="K4" s="8"/>
    </row>
    <row r="5" customFormat="false" ht="15" hidden="false" customHeight="false" outlineLevel="0" collapsed="false">
      <c r="A5" s="6"/>
      <c r="B5" s="14"/>
      <c r="C5" s="11"/>
      <c r="D5" s="12"/>
      <c r="E5" s="11"/>
      <c r="F5" s="12"/>
      <c r="G5" s="12"/>
      <c r="H5" s="11"/>
      <c r="I5" s="8"/>
      <c r="J5" s="10"/>
      <c r="K5" s="8"/>
    </row>
    <row r="6" customFormat="false" ht="97.5" hidden="false" customHeight="false" outlineLevel="0" collapsed="false">
      <c r="A6" s="6"/>
      <c r="B6" s="15" t="s">
        <v>3</v>
      </c>
      <c r="C6" s="15" t="str">
        <f aca="false">IF(NOT(ISNUMBER(C88)),"🚨 CRITICAL: Enable iterative calculation (File→Options→Formulas, 100 iter, 0.0001 tol) then press F9",IF(C42&gt;0,"⚡ Press F9 until η (D6) stops changing. Current η="&amp;TEXT(IF(ISNUMBER(C88),C88,C21),"0.0000")&amp;" — if this value changes when you press F9, keep pressing. When stable: ✅ CONVERGED.","⚠ R invalid — check QL input"))</f>
        <v>⚡ Press F9 until η (D6) stops changing. Current η=00.001 — if this value changes when you press F9, keep pressing. When stable: ✅ CONVERGED.</v>
      </c>
      <c r="D6" s="16" t="n">
        <f aca="false">C88</f>
        <v>0.753381574035562</v>
      </c>
      <c r="E6" s="11"/>
      <c r="F6" s="12"/>
      <c r="G6" s="12"/>
      <c r="H6" s="17"/>
      <c r="I6" s="8"/>
      <c r="J6" s="10"/>
      <c r="K6" s="18"/>
    </row>
    <row r="7" customFormat="false" ht="15" hidden="false" customHeight="false" outlineLevel="0" collapsed="false">
      <c r="A7" s="6"/>
      <c r="B7" s="19"/>
      <c r="C7" s="11"/>
      <c r="D7" s="12"/>
      <c r="E7" s="11"/>
      <c r="F7" s="12"/>
      <c r="G7" s="12"/>
      <c r="H7" s="11"/>
      <c r="I7" s="8"/>
      <c r="J7" s="10"/>
      <c r="K7" s="8"/>
    </row>
    <row r="8" customFormat="false" ht="15" hidden="false" customHeight="false" outlineLevel="0" collapsed="false">
      <c r="A8" s="6"/>
      <c r="B8" s="12" t="s">
        <v>4</v>
      </c>
      <c r="C8" s="7"/>
      <c r="D8" s="12"/>
      <c r="E8" s="11"/>
      <c r="F8" s="12"/>
      <c r="G8" s="12"/>
      <c r="H8" s="11"/>
      <c r="I8" s="8"/>
      <c r="J8" s="10"/>
      <c r="K8" s="8"/>
    </row>
    <row r="9" customFormat="false" ht="15" hidden="false" customHeight="false" outlineLevel="0" collapsed="false">
      <c r="A9" s="6"/>
      <c r="B9" s="12" t="s">
        <v>5</v>
      </c>
      <c r="C9" s="20"/>
      <c r="D9" s="21"/>
      <c r="E9" s="22"/>
      <c r="F9" s="21"/>
      <c r="G9" s="21"/>
      <c r="H9" s="22"/>
      <c r="I9" s="8" t="str">
        <f aca="false">IF(ISNUMBER(IFERROR(VLOOKUP(B9,'MOSFET Reference Table'!$A:$E,5,0)*1,0)),"","⚠ LDMOS/no Rds(on) — efficiency model INACTIVE for this device. C88 returns a warning string; I_dc uses input η (C21); no loss calculation is performed. Verify η from manufacturer datasheet or LTspice simulation.")</f>
        <v/>
      </c>
      <c r="J9" s="10"/>
      <c r="K9" s="8"/>
    </row>
    <row r="10" customFormat="false" ht="15" hidden="false" customHeight="false" outlineLevel="0" collapsed="false">
      <c r="A10" s="6"/>
      <c r="B10" s="23" t="s">
        <v>6</v>
      </c>
      <c r="C10" s="24"/>
      <c r="D10" s="25"/>
      <c r="E10" s="11"/>
      <c r="F10" s="12"/>
      <c r="G10" s="12"/>
      <c r="H10" s="11"/>
      <c r="I10" s="8"/>
      <c r="J10" s="10"/>
      <c r="K10" s="8"/>
    </row>
    <row r="11" customFormat="false" ht="15" hidden="false" customHeight="false" outlineLevel="0" collapsed="false">
      <c r="A11" s="6"/>
      <c r="B11" s="26" t="n">
        <f aca="false">C84</f>
        <v>53.43</v>
      </c>
      <c r="C11" s="27"/>
      <c r="D11" s="12"/>
      <c r="E11" s="11"/>
      <c r="F11" s="12"/>
      <c r="G11" s="12"/>
      <c r="H11" s="11"/>
      <c r="I11" s="8"/>
      <c r="J11" s="10"/>
      <c r="K11" s="8"/>
    </row>
    <row r="12" customFormat="false" ht="15" hidden="false" customHeight="false" outlineLevel="0" collapsed="false">
      <c r="A12" s="6"/>
      <c r="B12" s="9" t="str">
        <f aca="false">IF(IFERROR(VLOOKUP(B9,'MOSFET Reference Table'!$A:$C,3,0)*1,0)&lt;C84,"🚨 V_DSS TOO LOW — MOSFET WILL FAIL! V_DSS="&amp;TEXT(IFERROR(VLOOKUP(B9,'MOSFET Reference Table'!$A:$C,3,0),"?"),"0")&amp;"V &lt; required "&amp;TEXT(C84,"0")&amp;"V",IF(IFERROR(VLOOKUP(B9,'MOSFET Reference Table'!$A:$D,4,0)*1,999)&gt;=C86,"✅ V_DSS OK | I_D(cont) OK vs I_pk (⚠ verify I_D(pulsed) ≥ I_pk if I_D(cont) is marginal)",IF(IFERROR(VLOOKUP(B9,'MOSFET Reference Table'!$A:$D,4,0)*1,999)&gt;=C86/2,"⚠ V_DSS OK | I_D(cont)="&amp;TEXT(IFERROR(VLOOKUP(B9,'MOSFET Reference Table'!$A:$D,4,0),"?"),"0.0")&amp;"A &lt; I_pk="&amp;TEXT(C86,"0.00")&amp;"A — I_D(cont) &lt; I_pk but pulsed rating is typically 2-4× higher. Verify I_D(pulsed) from datasheet ≥ I_pk.","✅ V_DSS OK | ⚠ I_D(cont)="&amp;TEXT(IFERROR(VLOOKUP(B9,'MOSFET Reference Table'!$A:$D,4,0),"?"),"0.0")&amp;"A &lt; I_pk="&amp;TEXT(C86,"0.00")&amp;"A — check I_D(pulsed) in datasheet")))</f>
        <v>✅ V_DSS OK | I_D(cont) OK vs I_pk (⚠ verify I_D(pulsed) ≥ I_pk if I_D(cont) is marginal)</v>
      </c>
      <c r="C12" s="27"/>
      <c r="D12" s="12"/>
      <c r="E12" s="11"/>
      <c r="F12" s="12"/>
      <c r="G12" s="12"/>
      <c r="H12" s="11"/>
      <c r="I12" s="8"/>
      <c r="J12" s="10"/>
      <c r="K12" s="8"/>
    </row>
    <row r="13" customFormat="false" ht="15" hidden="false" customHeight="false" outlineLevel="0" collapsed="false">
      <c r="A13" s="6"/>
      <c r="B13" s="21"/>
      <c r="C13" s="27"/>
      <c r="D13" s="12"/>
      <c r="E13" s="11"/>
      <c r="F13" s="12"/>
      <c r="G13" s="12"/>
      <c r="H13" s="11"/>
      <c r="I13" s="8"/>
      <c r="J13" s="10"/>
      <c r="K13" s="8"/>
    </row>
    <row r="14" customFormat="false" ht="15" hidden="false" customHeight="false" outlineLevel="0" collapsed="false">
      <c r="A14" s="6"/>
      <c r="B14" s="28" t="s">
        <v>7</v>
      </c>
      <c r="C14" s="7"/>
      <c r="D14" s="6"/>
      <c r="E14" s="8"/>
      <c r="F14" s="9"/>
      <c r="G14" s="9"/>
      <c r="H14" s="8"/>
      <c r="I14" s="8"/>
      <c r="J14" s="10"/>
      <c r="K14" s="8"/>
    </row>
    <row r="15" customFormat="false" ht="15" hidden="false" customHeight="false" outlineLevel="0" collapsed="false">
      <c r="A15" s="6"/>
      <c r="B15" s="29" t="s">
        <v>8</v>
      </c>
      <c r="C15" s="29" t="s">
        <v>9</v>
      </c>
      <c r="D15" s="30" t="s">
        <v>10</v>
      </c>
      <c r="E15" s="29"/>
      <c r="F15" s="30"/>
      <c r="G15" s="30"/>
      <c r="H15" s="29"/>
      <c r="I15" s="29"/>
      <c r="J15" s="10"/>
      <c r="K15" s="8"/>
    </row>
    <row r="16" customFormat="false" ht="15" hidden="false" customHeight="false" outlineLevel="0" collapsed="false">
      <c r="A16" s="6"/>
      <c r="B16" s="8" t="s">
        <v>11</v>
      </c>
      <c r="C16" s="31" t="n">
        <v>5</v>
      </c>
      <c r="D16" s="32" t="s">
        <v>12</v>
      </c>
      <c r="E16" s="8"/>
      <c r="F16" s="8"/>
      <c r="G16" s="9"/>
      <c r="H16" s="8"/>
      <c r="I16" s="8"/>
      <c r="J16" s="10"/>
      <c r="K16" s="8"/>
    </row>
    <row r="17" customFormat="false" ht="15" hidden="false" customHeight="false" outlineLevel="0" collapsed="false">
      <c r="A17" s="6"/>
      <c r="B17" s="8" t="s">
        <v>13</v>
      </c>
      <c r="C17" s="31" t="n">
        <v>0.4</v>
      </c>
      <c r="D17" s="32" t="s">
        <v>14</v>
      </c>
      <c r="E17" s="8"/>
      <c r="F17" s="8"/>
      <c r="G17" s="9"/>
      <c r="H17" s="8"/>
      <c r="I17" s="8"/>
      <c r="J17" s="10"/>
      <c r="K17" s="8"/>
    </row>
    <row r="18" customFormat="false" ht="15" hidden="false" customHeight="false" outlineLevel="0" collapsed="false">
      <c r="A18" s="6"/>
      <c r="B18" s="8" t="s">
        <v>15</v>
      </c>
      <c r="C18" s="31" t="n">
        <v>14</v>
      </c>
      <c r="D18" s="32" t="s">
        <v>16</v>
      </c>
      <c r="E18" s="8" t="str">
        <f aca="false">IF(C18&gt;1000,"🚨 Frequency appears to be in Hz, not MHz. Enter MHz only (e.g., 14 for 14 MHz).",IF(C18&lt;0.001,"🚨 Frequency appears too low. Enter value in MHz.","✅ f = "&amp;TEXT(C18,"0.000")&amp;" MHz"))</f>
        <v>✅ f = 0.014 MHz</v>
      </c>
      <c r="F18" s="8"/>
      <c r="G18" s="9"/>
      <c r="H18" s="8"/>
      <c r="I18" s="8"/>
      <c r="J18" s="10"/>
      <c r="K18" s="8"/>
    </row>
    <row r="19" customFormat="false" ht="42.25" hidden="false" customHeight="false" outlineLevel="0" collapsed="false">
      <c r="A19" s="6"/>
      <c r="B19" s="8" t="s">
        <v>17</v>
      </c>
      <c r="C19" s="31" t="n">
        <v>5</v>
      </c>
      <c r="D19" s="32" t="s">
        <v>18</v>
      </c>
      <c r="E19" s="8" t="str">
        <f aca="false">IF(NOT(ISNUMBER(C19)),"QL must be a number (e.g., 5)",IF(C19&lt;=0,"QL must be positive (min 1.7879)",IF(C19&lt;1.7879,"QL&lt;1.7879 minimum — Class-E impossible",IF(C18&gt;30,"QL valid. For f&gt;30 MHz, try QL=3–5 to keep L2 manageable.",IF(C18&gt;14,"QL valid. For 14–30 MHz HF, QL=5–7 recommended.",IF(C18&gt;3,"QL valid. For 3–14 MHz HF, QL=5–10 gives good balance.","QL valid. For LF/MF (&lt;3 MHz), QL=7–15 allows excellent efficiency."))))))</f>
        <v>QL valid. For 3–14 MHz HF, QL=5–10 gives good balance.</v>
      </c>
      <c r="F19" s="8"/>
      <c r="G19" s="9"/>
      <c r="H19" s="8"/>
      <c r="I19" s="8"/>
      <c r="J19" s="10"/>
      <c r="K19" s="8"/>
    </row>
    <row r="20" customFormat="false" ht="15" hidden="false" customHeight="false" outlineLevel="0" collapsed="false">
      <c r="A20" s="6"/>
      <c r="B20" s="8" t="s">
        <v>19</v>
      </c>
      <c r="C20" s="31" t="n">
        <v>0</v>
      </c>
      <c r="D20" s="32" t="s">
        <v>12</v>
      </c>
      <c r="E20" s="8"/>
      <c r="F20" s="8"/>
      <c r="G20" s="9"/>
      <c r="H20" s="8"/>
      <c r="I20" s="8"/>
      <c r="J20" s="10"/>
      <c r="K20" s="8"/>
    </row>
    <row r="21" customFormat="false" ht="82.55" hidden="false" customHeight="false" outlineLevel="0" collapsed="false">
      <c r="A21" s="6"/>
      <c r="B21" s="8" t="s">
        <v>20</v>
      </c>
      <c r="C21" s="31" t="n">
        <v>0.92</v>
      </c>
      <c r="D21" s="32" t="s">
        <v>18</v>
      </c>
      <c r="E21" s="8" t="str">
        <f aca="false">IF(OR(C21&lt;=0,C21&gt;=1),"🚨 FATAL: η must be between 0.01 and 0.99 (e.g., 0.85)",IF(ISNUMBER(C88),IF(ABS(C88-C21)&gt;0.02,"ℹ C21="&amp;TEXT(C21,"0%")&amp;" differs from analytical C88="&amp;TEXT(C88,"0.0%")&amp;". C88 (predicted η) is always used for I_dc — C21 is informational only.","✅ η (C88) converged. C21 is informational only."),"⚠ C88 not numeric — check MOSFET table or enter η in C21"))</f>
        <v>ℹ C21=92% differs from analytical C88=75%. C88 (predicted η) is always used for I_dc — C21 is informational only.</v>
      </c>
      <c r="F21" s="8"/>
      <c r="G21" s="9"/>
      <c r="H21" s="8"/>
      <c r="I21" s="8"/>
      <c r="J21" s="10"/>
      <c r="K21" s="8"/>
    </row>
    <row r="22" customFormat="false" ht="69.15" hidden="false" customHeight="false" outlineLevel="0" collapsed="false">
      <c r="A22" s="6"/>
      <c r="B22" s="8" t="s">
        <v>21</v>
      </c>
      <c r="C22" s="31" t="n">
        <v>0.05</v>
      </c>
      <c r="D22" s="32" t="s">
        <v>22</v>
      </c>
      <c r="E22" s="8"/>
      <c r="F22" s="33" t="s">
        <v>23</v>
      </c>
      <c r="G22" s="9"/>
      <c r="H22" s="8"/>
      <c r="I22" s="8"/>
      <c r="J22" s="10"/>
      <c r="K22" s="8"/>
    </row>
    <row r="23" customFormat="false" ht="55.7" hidden="false" customHeight="false" outlineLevel="0" collapsed="false">
      <c r="A23" s="6"/>
      <c r="B23" s="8" t="s">
        <v>24</v>
      </c>
      <c r="C23" s="31" t="n">
        <v>0.1</v>
      </c>
      <c r="D23" s="32" t="s">
        <v>22</v>
      </c>
      <c r="E23" s="8"/>
      <c r="F23" s="33" t="s">
        <v>25</v>
      </c>
      <c r="G23" s="33" t="str">
        <f aca="false">IF(AND(ISNUMBER(C23),ISNUMBER(C43),MAX(C16-C35,0.001)&gt;0),IF(ABS(C23*C43/(MAX(C16-C35,0.001))-0.01)&gt;0.005,"⚠ RFC actual loss="&amp;TEXT(C23*C43/(MAX(C16-C35,0.001))*100,"0.0")&amp;"% vs Sokal fixed 1% (−0.01 term). Δη="&amp;TEXT(C23*C43/(MAX(C16-C35,0.001))-0.01,"0.000")&amp;". Adjust input η (C20) accordingly.","✅ RFC loss≈"&amp;TEXT(C23*C43/(MAX(C16-C35,0.001))*100,"0.0")&amp;"% — Sokal −0.01 fixed term accurate."),"—")</f>
        <v>⚠ RFC actual loss=00% vs Sokal fixed 1% (−0.01 term). Δη=0.000. Adjust input η (C20) accordingly.</v>
      </c>
      <c r="H23" s="17"/>
      <c r="I23" s="8"/>
      <c r="J23" s="10"/>
      <c r="K23" s="8"/>
    </row>
    <row r="24" customFormat="false" ht="15" hidden="false" customHeight="false" outlineLevel="0" collapsed="false">
      <c r="A24" s="6"/>
      <c r="B24" s="8" t="s">
        <v>26</v>
      </c>
      <c r="C24" s="31" t="n">
        <v>50</v>
      </c>
      <c r="D24" s="32" t="s">
        <v>22</v>
      </c>
      <c r="E24" s="8"/>
      <c r="F24" s="8"/>
      <c r="G24" s="9"/>
      <c r="H24" s="8"/>
      <c r="I24" s="8"/>
      <c r="J24" s="10"/>
      <c r="K24" s="8"/>
    </row>
    <row r="25" customFormat="false" ht="15" hidden="false" customHeight="false" outlineLevel="0" collapsed="false">
      <c r="A25" s="6"/>
      <c r="B25" s="8" t="s">
        <v>27</v>
      </c>
      <c r="C25" s="31" t="n">
        <v>50</v>
      </c>
      <c r="D25" s="32" t="s">
        <v>22</v>
      </c>
      <c r="E25" s="8"/>
      <c r="F25" s="8"/>
      <c r="G25" s="9"/>
      <c r="H25" s="8"/>
      <c r="I25" s="8"/>
      <c r="J25" s="10"/>
      <c r="K25" s="8"/>
    </row>
    <row r="26" customFormat="false" ht="42.25" hidden="false" customHeight="false" outlineLevel="0" collapsed="false">
      <c r="A26" s="6"/>
      <c r="B26" s="7" t="s">
        <v>28</v>
      </c>
      <c r="C26" s="31" t="n">
        <v>0.5</v>
      </c>
      <c r="D26" s="32" t="s">
        <v>18</v>
      </c>
      <c r="E26" s="8" t="str">
        <f aca="false">IF(C26&lt;&gt;0.5,"🚨 FATAL: D≠0.5 — ALL SOKAL EQUATIONS INVALID. Reset to 0.5.","✅ D = 0.5 — correct (required for Sokal equations)")</f>
        <v>✅ D = 0.5 — correct (required for Sokal equations)</v>
      </c>
      <c r="F26" s="8"/>
      <c r="G26" s="9"/>
      <c r="H26" s="8"/>
      <c r="I26" s="8"/>
      <c r="J26" s="10"/>
      <c r="K26" s="8"/>
    </row>
    <row r="27" customFormat="false" ht="15" hidden="false" customHeight="false" outlineLevel="0" collapsed="false">
      <c r="A27" s="6"/>
      <c r="B27" s="8" t="s">
        <v>29</v>
      </c>
      <c r="C27" s="31" t="n">
        <f aca="false">IFERROR(IF(B9="-- Select MOSFET --",100,VLOOKUP(B9,'MOSFET Reference Table'!$A:$F,6,0)),100)</f>
        <v>60</v>
      </c>
      <c r="D27" s="32" t="s">
        <v>30</v>
      </c>
      <c r="E27" s="8"/>
      <c r="F27" s="8"/>
      <c r="G27" s="9"/>
      <c r="H27" s="8"/>
      <c r="I27" s="8"/>
      <c r="J27" s="10"/>
      <c r="K27" s="8"/>
    </row>
    <row r="28" customFormat="false" ht="15" hidden="false" customHeight="false" outlineLevel="0" collapsed="false">
      <c r="A28" s="6"/>
      <c r="B28" s="8" t="s">
        <v>31</v>
      </c>
      <c r="C28" s="31" t="n">
        <v>10</v>
      </c>
      <c r="D28" s="32" t="s">
        <v>22</v>
      </c>
      <c r="E28" s="8"/>
      <c r="F28" s="8"/>
      <c r="G28" s="9"/>
      <c r="H28" s="8"/>
      <c r="I28" s="8"/>
      <c r="J28" s="10"/>
      <c r="K28" s="8"/>
    </row>
    <row r="29" customFormat="false" ht="15" hidden="false" customHeight="false" outlineLevel="0" collapsed="false">
      <c r="A29" s="6"/>
      <c r="B29" s="8" t="s">
        <v>32</v>
      </c>
      <c r="C29" s="31" t="n">
        <v>25</v>
      </c>
      <c r="D29" s="32" t="s">
        <v>33</v>
      </c>
      <c r="E29" s="8"/>
      <c r="F29" s="8"/>
      <c r="G29" s="9"/>
      <c r="H29" s="8"/>
      <c r="I29" s="8"/>
      <c r="J29" s="10"/>
      <c r="K29" s="8"/>
    </row>
    <row r="30" customFormat="false" ht="15" hidden="false" customHeight="false" outlineLevel="0" collapsed="false">
      <c r="A30" s="6"/>
      <c r="B30" s="8" t="s">
        <v>34</v>
      </c>
      <c r="C30" s="31" t="n">
        <v>0.01</v>
      </c>
      <c r="D30" s="32" t="s">
        <v>22</v>
      </c>
      <c r="E30" s="8"/>
      <c r="F30" s="8"/>
      <c r="G30" s="9"/>
      <c r="H30" s="8"/>
      <c r="I30" s="8"/>
      <c r="J30" s="10"/>
      <c r="K30" s="8"/>
    </row>
    <row r="31" customFormat="false" ht="15" hidden="false" customHeight="false" outlineLevel="0" collapsed="false">
      <c r="A31" s="6"/>
      <c r="B31" s="8" t="s">
        <v>35</v>
      </c>
      <c r="C31" s="31" t="n">
        <v>0.01</v>
      </c>
      <c r="D31" s="32" t="s">
        <v>22</v>
      </c>
      <c r="E31" s="8"/>
      <c r="F31" s="8"/>
      <c r="G31" s="9"/>
      <c r="H31" s="8"/>
      <c r="I31" s="8"/>
      <c r="J31" s="10"/>
      <c r="K31" s="8"/>
    </row>
    <row r="32" customFormat="false" ht="15" hidden="false" customHeight="false" outlineLevel="0" collapsed="false">
      <c r="A32" s="6"/>
      <c r="B32" s="8" t="s">
        <v>36</v>
      </c>
      <c r="C32" s="31" t="n">
        <f aca="false">IFERROR(VLOOKUP(B9,'MOSFET Reference Table'!$A:$G,7,0),0)</f>
        <v>12</v>
      </c>
      <c r="D32" s="32" t="s">
        <v>30</v>
      </c>
      <c r="E32" s="8"/>
      <c r="F32" s="8"/>
      <c r="G32" s="9"/>
      <c r="H32" s="8" t="str">
        <f aca="false">IF(AND(B9&lt;&gt;"-- Select MOSFET --",IFERROR(VLOOKUP(B9,'MOSFET Reference Table'!$A:$A,1,0),"not found")="not found"),"⚠ MOSFET not in reference table — Coss returned as 0 pF. C1_ext (C33) will be over-estimated. Add device to the MOSFET Reference Table.","")</f>
        <v/>
      </c>
      <c r="I32" s="8"/>
      <c r="J32" s="10"/>
      <c r="K32" s="8"/>
    </row>
    <row r="33" customFormat="false" ht="55.7" hidden="false" customHeight="false" outlineLevel="0" collapsed="false">
      <c r="A33" s="6"/>
      <c r="B33" s="8" t="s">
        <v>37</v>
      </c>
      <c r="C33" s="34" t="n">
        <f aca="false">IFERROR(IF(NOT(ISNUMBER(C49)),IF(NOT(ISNUMBER(C48)),C48,"⚠ C1_ext invalid — check QL input (C19) and frequency (C18)"),IF(C49-C32*$C$36&lt;0,"🚨 OVER-CAPACITANCE: Coss_eff ("&amp;TEXT(C32*$C$36,"0.0")&amp;" pF) &gt; C1_req ("&amp;TEXT(C49,"0.0")&amp;" pF). Select a device with lower Coss, reduce f, or increase Pout/Vcc.",MAX(C49-C32*$C$36,0))),0)</f>
        <v>73.1311809050057</v>
      </c>
      <c r="D33" s="32" t="s">
        <v>30</v>
      </c>
      <c r="E33" s="8"/>
      <c r="F33" s="8"/>
      <c r="G33" s="9"/>
      <c r="H33" s="8"/>
      <c r="I33" s="8"/>
      <c r="J33" s="10"/>
      <c r="K33" s="8"/>
    </row>
    <row r="34" customFormat="false" ht="15" hidden="false" customHeight="false" outlineLevel="0" collapsed="false">
      <c r="A34" s="6"/>
      <c r="B34" s="8" t="s">
        <v>38</v>
      </c>
      <c r="C34" s="31" t="n">
        <v>0</v>
      </c>
      <c r="D34" s="32" t="s">
        <v>39</v>
      </c>
      <c r="E34" s="8"/>
      <c r="F34" s="8"/>
      <c r="G34" s="9"/>
      <c r="H34" s="8"/>
      <c r="I34" s="8"/>
      <c r="J34" s="10"/>
      <c r="K34" s="8"/>
    </row>
    <row r="35" customFormat="false" ht="15" hidden="false" customHeight="false" outlineLevel="0" collapsed="false">
      <c r="A35" s="6"/>
      <c r="B35" s="8" t="s">
        <v>40</v>
      </c>
      <c r="C35" s="31" t="n">
        <v>0</v>
      </c>
      <c r="D35" s="32" t="s">
        <v>12</v>
      </c>
      <c r="E35" s="8"/>
      <c r="F35" s="8"/>
      <c r="G35" s="9"/>
      <c r="H35" s="8"/>
      <c r="I35" s="8"/>
      <c r="J35" s="10"/>
      <c r="K35" s="8"/>
    </row>
    <row r="36" customFormat="false" ht="149.75" hidden="false" customHeight="false" outlineLevel="0" collapsed="false">
      <c r="A36" s="6"/>
      <c r="B36" s="8" t="s">
        <v>41</v>
      </c>
      <c r="C36" s="31" t="n">
        <f aca="false">IFERROR(VLOOKUP(B9,'MOSFET Reference Table'!$A:$O,15,0),0.35)</f>
        <v>0.4</v>
      </c>
      <c r="D36" s="32" t="s">
        <v>18</v>
      </c>
      <c r="E36" s="8"/>
      <c r="F36" s="33" t="s">
        <v>42</v>
      </c>
      <c r="G36" s="33" t="s">
        <v>43</v>
      </c>
      <c r="H36" s="35" t="n">
        <f aca="false">IFERROR(IF(VLOOKUP(B9,'MOSFET Reference Table'!$A:$P,16,0)="Si-planar",0.4,IF(VLOOKUP(B9,'MOSFET Reference Table'!$A:$P,16,0)="Si-DMOS",0.35,IF(VLOOKUP(B9,'MOSFET Reference Table'!$A:$P,16,0)="LDMOS",0.08,IF(VLOOKUP(B9,'MOSFET Reference Table'!$A:$P,16,0)="GaN",0.05,0.25)))),0.25)</f>
        <v>0.4</v>
      </c>
      <c r="I36" s="17" t="n">
        <f aca="false">H36</f>
        <v>0.4</v>
      </c>
      <c r="J36" s="10" t="s">
        <v>44</v>
      </c>
      <c r="K36" s="8"/>
    </row>
    <row r="37" customFormat="false" ht="28.85" hidden="false" customHeight="false" outlineLevel="0" collapsed="false">
      <c r="A37" s="6"/>
      <c r="B37" s="8" t="s">
        <v>45</v>
      </c>
      <c r="C37" s="31" t="n">
        <v>3</v>
      </c>
      <c r="D37" s="32" t="s">
        <v>18</v>
      </c>
      <c r="E37" s="8"/>
      <c r="F37" s="33" t="s">
        <v>46</v>
      </c>
      <c r="G37" s="9"/>
      <c r="H37" s="8"/>
      <c r="I37" s="8"/>
      <c r="J37" s="10"/>
      <c r="K37" s="8"/>
    </row>
    <row r="38" customFormat="false" ht="15" hidden="false" customHeight="false" outlineLevel="0" collapsed="false">
      <c r="A38" s="6"/>
      <c r="B38" s="8"/>
      <c r="C38" s="31"/>
      <c r="D38" s="9"/>
      <c r="E38" s="8"/>
      <c r="F38" s="8"/>
      <c r="G38" s="9"/>
      <c r="H38" s="8"/>
      <c r="I38" s="8"/>
      <c r="J38" s="10"/>
      <c r="K38" s="8"/>
    </row>
    <row r="39" customFormat="false" ht="16.4" hidden="false" customHeight="false" outlineLevel="0" collapsed="false">
      <c r="A39" s="6"/>
      <c r="B39" s="36" t="s">
        <v>47</v>
      </c>
      <c r="C39" s="37"/>
      <c r="D39" s="6"/>
      <c r="E39" s="8"/>
      <c r="F39" s="33" t="str">
        <f aca="false">IF(NOT(ISNUMBER(C42)),"—",IF(0.576801*(1.0000086-0.414395/C19-0.577501/C19^2+0.205967/C19^3)*(C16-C35-C20)^2&lt;4*(C22+C30+1.365*IFERROR(VLOOKUP(B9,'MOSFET Reference Table'!$A:$E,5,0)*1,0)+0.2116*C31)*C17,"⚠ LOW EFFICIENCY: Device Rds(on) losses are high relative to R_opt — predicted η &lt; ~80% at this design point. This is a design quality warning, not a hard limit. "&amp;"Reduce Pout, increase Vcc, or select a lower Rds(on) device. Max Pout ≈ "&amp;TEXT(0.576801*(1.0000086-0.414395/C19-0.577501/C19^2+0.205967/C19^3)*(C16-C35-C20)^2/(4*(C22+C30+1.365*IFERROR(VLOOKUP(B9,'MOSFET Reference Table'!$A:$E,5,0)*1,0)+0.2116*C31)),"0.000")&amp;" W","✅ Operating point is feasible — iterate."))</f>
        <v>✅ Operating point is feasible — iterate.</v>
      </c>
      <c r="G39" s="38"/>
      <c r="H39" s="8"/>
      <c r="I39" s="8"/>
      <c r="J39" s="10"/>
      <c r="K39" s="8"/>
    </row>
    <row r="40" customFormat="false" ht="15" hidden="false" customHeight="false" outlineLevel="0" collapsed="false">
      <c r="A40" s="6"/>
      <c r="B40" s="29" t="s">
        <v>8</v>
      </c>
      <c r="C40" s="29" t="s">
        <v>9</v>
      </c>
      <c r="D40" s="30" t="s">
        <v>10</v>
      </c>
      <c r="E40" s="29"/>
      <c r="F40" s="30" t="s">
        <v>48</v>
      </c>
      <c r="G40" s="30"/>
      <c r="H40" s="29"/>
      <c r="I40" s="29"/>
      <c r="J40" s="10"/>
      <c r="K40" s="8"/>
    </row>
    <row r="41" customFormat="false" ht="15" hidden="false" customHeight="false" outlineLevel="0" collapsed="false">
      <c r="A41" s="6"/>
      <c r="B41" s="8" t="s">
        <v>49</v>
      </c>
      <c r="C41" s="18" t="n">
        <f aca="false">2*PI()*C18*1000000</f>
        <v>87964594.3005142</v>
      </c>
      <c r="D41" s="32" t="s">
        <v>50</v>
      </c>
      <c r="E41" s="8"/>
      <c r="F41" s="33" t="s">
        <v>51</v>
      </c>
      <c r="G41" s="9"/>
      <c r="H41" s="8"/>
      <c r="I41" s="8"/>
      <c r="J41" s="10"/>
      <c r="K41" s="8"/>
    </row>
    <row r="42" customFormat="false" ht="69.15" hidden="false" customHeight="false" outlineLevel="0" collapsed="false">
      <c r="A42" s="6"/>
      <c r="B42" s="8" t="s">
        <v>52</v>
      </c>
      <c r="C42" s="18" t="n">
        <f aca="false">IF(C19&lt;=1.7879,"⚠ QL≤min (1.7879) — C2→∞, Class-E boundary",(C44^2/C17)*0.576801*(1.0000086-0.414395/C19-0.577501/C19^2+0.205967/C19^3))</f>
        <v>32.289222500631</v>
      </c>
      <c r="D42" s="32" t="s">
        <v>22</v>
      </c>
      <c r="E42" s="8"/>
      <c r="F42" s="33" t="s">
        <v>53</v>
      </c>
      <c r="G42" s="9"/>
      <c r="H42" s="8"/>
      <c r="I42" s="8"/>
      <c r="J42" s="10"/>
      <c r="K42" s="8"/>
    </row>
    <row r="43" customFormat="false" ht="109.45" hidden="false" customHeight="false" outlineLevel="0" collapsed="false">
      <c r="A43" s="6"/>
      <c r="B43" s="8" t="s">
        <v>54</v>
      </c>
      <c r="C43" s="18" t="n">
        <f aca="false">C17/(C44*IF(ISNUMBER(C88),C88,C21))</f>
        <v>0.106187890382655</v>
      </c>
      <c r="D43" s="32" t="s">
        <v>55</v>
      </c>
      <c r="E43" s="8"/>
      <c r="F43" s="33" t="s">
        <v>56</v>
      </c>
      <c r="G43" s="9"/>
      <c r="H43" s="8"/>
      <c r="I43" s="8"/>
      <c r="J43" s="10"/>
      <c r="K43" s="8"/>
    </row>
    <row r="44" customFormat="false" ht="42.25" hidden="false" customHeight="false" outlineLevel="0" collapsed="false">
      <c r="A44" s="6"/>
      <c r="B44" s="8" t="s">
        <v>57</v>
      </c>
      <c r="C44" s="18" t="n">
        <f aca="false">C16-C35-C20</f>
        <v>5</v>
      </c>
      <c r="D44" s="32" t="s">
        <v>12</v>
      </c>
      <c r="E44" s="8"/>
      <c r="F44" s="33" t="s">
        <v>58</v>
      </c>
      <c r="G44" s="9"/>
      <c r="H44" s="8"/>
      <c r="I44" s="8"/>
      <c r="J44" s="10"/>
      <c r="K44" s="8"/>
    </row>
    <row r="45" customFormat="false" ht="15" hidden="false" customHeight="false" outlineLevel="0" collapsed="false">
      <c r="A45" s="6"/>
      <c r="B45" s="7"/>
      <c r="C45" s="7"/>
      <c r="D45" s="6"/>
      <c r="E45" s="8"/>
      <c r="F45" s="9"/>
      <c r="G45" s="9"/>
      <c r="H45" s="8"/>
      <c r="I45" s="8"/>
      <c r="J45" s="10"/>
      <c r="K45" s="8"/>
    </row>
    <row r="46" customFormat="false" ht="16.4" hidden="false" customHeight="false" outlineLevel="0" collapsed="false">
      <c r="A46" s="6"/>
      <c r="B46" s="37" t="s">
        <v>59</v>
      </c>
      <c r="C46" s="7"/>
      <c r="D46" s="6"/>
      <c r="E46" s="8"/>
      <c r="F46" s="9"/>
      <c r="G46" s="9"/>
      <c r="H46" s="8"/>
      <c r="I46" s="8"/>
      <c r="J46" s="10"/>
      <c r="K46" s="8"/>
    </row>
    <row r="47" customFormat="false" ht="15" hidden="false" customHeight="false" outlineLevel="0" collapsed="false">
      <c r="A47" s="6"/>
      <c r="B47" s="29" t="s">
        <v>8</v>
      </c>
      <c r="C47" s="29" t="s">
        <v>9</v>
      </c>
      <c r="D47" s="30" t="s">
        <v>10</v>
      </c>
      <c r="E47" s="29" t="s">
        <v>60</v>
      </c>
      <c r="F47" s="30" t="s">
        <v>48</v>
      </c>
      <c r="G47" s="39"/>
      <c r="H47" s="29"/>
      <c r="I47" s="29"/>
      <c r="J47" s="10"/>
      <c r="K47" s="8"/>
    </row>
    <row r="48" customFormat="false" ht="163.15" hidden="false" customHeight="false" outlineLevel="0" collapsed="false">
      <c r="A48" s="6"/>
      <c r="B48" s="8" t="s">
        <v>61</v>
      </c>
      <c r="C48" s="18" t="n">
        <f aca="false">IFERROR(IF(C19&lt;=1.7879,"⚠ QL≤min (1.7879) — C2→∞, Class-E boundary",IF(C18&lt;=0,"⚠ Frequency must be &gt; 0 MHz",IF(NOT(ISNUMBER(C42)),0,(0.99866+0.91424/C19-1.03175/C19^2)/(5.4466*C41*C42)+IFERROR(0.6/(C41^2*C54),0)))),0)</f>
        <v>7.79311809050057E-011</v>
      </c>
      <c r="D48" s="32" t="s">
        <v>62</v>
      </c>
      <c r="E48" s="8"/>
      <c r="F48" s="33" t="s">
        <v>63</v>
      </c>
      <c r="G48" s="33" t="str">
        <f aca="false">IF(ISNUMBER(C19),IF(C19&gt;=1.7879,"ℹ C1 polynomial accuracy: ±0.18% vs Sokal Table I across all valid QL (1.7879–∞). RFC correction (+0.6/(ω²·L_RFC)) adds ~"&amp;TEXT(0.6/(C41^2*C54)/C48*100,"0.1")&amp;"% to C1_total. Total C1 error &lt; ±0.5%."," "),"—")</f>
        <v>ℹ C1 polynomial accuracy: ±0.18% vs Sokal Table I across all valid QL (1.7879–∞). RFC correction (+0.6/(ω²·L_RFC)) adds ~0% to C1_total. Total C1 error &lt; ±0.5%.</v>
      </c>
      <c r="H48" s="8"/>
      <c r="I48" s="8"/>
      <c r="J48" s="10"/>
      <c r="K48" s="8"/>
    </row>
    <row r="49" customFormat="false" ht="15" hidden="false" customHeight="false" outlineLevel="0" collapsed="false">
      <c r="A49" s="6"/>
      <c r="B49" s="8" t="s">
        <v>64</v>
      </c>
      <c r="C49" s="18" t="n">
        <f aca="false">C48*1000000000000</f>
        <v>77.9311809050057</v>
      </c>
      <c r="D49" s="32" t="s">
        <v>30</v>
      </c>
      <c r="E49" s="40" t="str">
        <f aca="false">IFERROR(IF(ISNUMBER(C49),TEXT(10^INT(LOG10(ABS(C49)+1E-030))*CHOOSE(MATCH(C49/10^INT(LOG10(ABS(C49)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"&amp;D49,C49),"—")</f>
        <v>075 pF</v>
      </c>
      <c r="F49" s="33" t="s">
        <v>65</v>
      </c>
      <c r="G49" s="38"/>
      <c r="H49" s="8"/>
      <c r="I49" s="8"/>
      <c r="J49" s="10"/>
      <c r="K49" s="8"/>
    </row>
    <row r="50" customFormat="false" ht="28.85" hidden="false" customHeight="false" outlineLevel="0" collapsed="false">
      <c r="A50" s="6"/>
      <c r="B50" s="8" t="s">
        <v>66</v>
      </c>
      <c r="C50" s="18" t="n">
        <f aca="false">IFERROR(IF(C19&lt;=1.7879,"⚠ QL≤min (1.7879) — C2→∞, Class-E boundary",IF(C18&lt;=0,"⚠ Frequency must be &gt; 0 MHz",C19*C42/C41)),0)</f>
        <v>1.83535334627481E-006</v>
      </c>
      <c r="D50" s="32" t="s">
        <v>67</v>
      </c>
      <c r="E50" s="40"/>
      <c r="F50" s="33" t="s">
        <v>68</v>
      </c>
      <c r="G50" s="9"/>
      <c r="H50" s="8"/>
      <c r="I50" s="8"/>
      <c r="J50" s="10"/>
      <c r="K50" s="8"/>
    </row>
    <row r="51" customFormat="false" ht="15" hidden="false" customHeight="false" outlineLevel="0" collapsed="false">
      <c r="A51" s="6"/>
      <c r="B51" s="8" t="s">
        <v>69</v>
      </c>
      <c r="C51" s="18" t="n">
        <f aca="false">C50*1000000</f>
        <v>1.83535334627481</v>
      </c>
      <c r="D51" s="32" t="s">
        <v>70</v>
      </c>
      <c r="E51" s="40" t="str">
        <f aca="false">IFERROR(IF(ISNUMBER(C51),TEXT(10^INT(LOG10(ABS(C51)+1E-030))*CHOOSE(MATCH(C51/10^INT(LOG10(ABS(C51)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"&amp;D51,C51),"—")</f>
        <v>02 µH</v>
      </c>
      <c r="F51" s="33" t="s">
        <v>71</v>
      </c>
      <c r="G51" s="9"/>
      <c r="H51" s="8"/>
      <c r="I51" s="8"/>
      <c r="J51" s="10"/>
      <c r="K51" s="8"/>
    </row>
    <row r="52" customFormat="false" ht="42.25" hidden="false" customHeight="false" outlineLevel="0" collapsed="false">
      <c r="A52" s="6"/>
      <c r="B52" s="8" t="s">
        <v>72</v>
      </c>
      <c r="C52" s="18" t="n">
        <f aca="false">IFERROR(IF(C19&lt;=1.7879,"⚠ QL≤min (1.7879) — C2→∞, Class-E boundary",IF(C18&lt;=0,"⚠ Frequency must be &gt; 0 MHz",IF((1/(C41*C42))*(1/(C19-0.104823))*(1.00121+1.01468/(C19-1.7879))-IFERROR(0.2/(C41^2*C54),0)&lt;0,"⚠ C2 = 0: RFC correction exceeds base C2 at this QL — omitting C2 destroys Class-E operation. Increase QL or reduce RFC inductance.",(1/(C41*C42))*(1/(C19-0.104823))*(1.00121+1.01468/(C19-1.7879))-IFERROR(0.2/(C41^2*C54),0)))),0)</f>
        <v>9.33213357582762E-011</v>
      </c>
      <c r="D52" s="32" t="s">
        <v>62</v>
      </c>
      <c r="E52" s="40" t="str">
        <f aca="false">IF(ISNUMBER(C19),IF(C19&lt;=1.7879,"⚠ QL≤min (1.7879) — C2→∞, Class-E boundary",IF(C19&lt;1.9,"⚠ QL very close to minimum (1.7879) — verify with LTspice before building","")),"")</f>
        <v/>
      </c>
      <c r="F52" s="33" t="str">
        <f aca="false">IF(C19&gt;20,"ℹ QL&gt;20: Sokal Eq.9 — C2·ω·R = (1/(QL−0.104823))×(1.00121+1.01468/(QL−1.7879)). Accuracy ±0.072% vs Table I across all valid QL. At very high QL, C2 is dominated by stray capacitance — fine-tune with LTspice or VNA.","Sokal AACD 2001 Eq.9 rational fit (accuracy ±0.072% vs Table I): C2·ω·R = [1/(QL−0.104823)]×[1.00121+1.01468/(QL−1.7879)]. RFC correction −0.2/(ω²·L_RFC) applied. Valid for all QL ≥ 1.7879.")</f>
        <v>Sokal AACD 2001 Eq.9 rational fit (accuracy ±0.072% vs Table I): C2·ω·R = [1/(QL−0.104823)]×[1.00121+1.01468/(QL−1.7879)]. RFC correction −0.2/(ω²·L_RFC) applied. Valid for all QL ≥ 1.7879.</v>
      </c>
      <c r="G52" s="9"/>
      <c r="H52" s="8"/>
      <c r="I52" s="8"/>
      <c r="J52" s="10"/>
      <c r="K52" s="8"/>
    </row>
    <row r="53" customFormat="false" ht="15" hidden="false" customHeight="false" outlineLevel="0" collapsed="false">
      <c r="A53" s="6"/>
      <c r="B53" s="8" t="s">
        <v>73</v>
      </c>
      <c r="C53" s="18" t="n">
        <f aca="false">IF(ISNUMBER(C52),C52*1000000000000,C52)</f>
        <v>93.3213357582762</v>
      </c>
      <c r="D53" s="32" t="s">
        <v>30</v>
      </c>
      <c r="E53" s="40" t="str">
        <f aca="false">IFERROR(IF(ISNUMBER(C53),TEXT(10^INT(LOG10(ABS(C53)+1E-030))*CHOOSE(MATCH(C53/10^INT(LOG10(ABS(C53)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"&amp;D53,C53),"—")</f>
        <v>091 pF</v>
      </c>
      <c r="F53" s="33" t="s">
        <v>74</v>
      </c>
      <c r="G53" s="9"/>
      <c r="H53" s="8"/>
      <c r="I53" s="8"/>
      <c r="J53" s="10"/>
      <c r="K53" s="8"/>
    </row>
    <row r="54" customFormat="false" ht="136.3" hidden="false" customHeight="false" outlineLevel="0" collapsed="false">
      <c r="A54" s="6"/>
      <c r="B54" s="8" t="s">
        <v>75</v>
      </c>
      <c r="C54" s="18" t="n">
        <f aca="false">IF(AND(ISNUMBER(C42),C18&gt;0),50*C42/C41,"⚠ R invalid or f=0 — set QL ≥ 1.7879 and f &gt; 0 first")</f>
        <v>1.83535334627481E-005</v>
      </c>
      <c r="D54" s="32" t="s">
        <v>67</v>
      </c>
      <c r="E54" s="40"/>
      <c r="F54" s="33" t="s">
        <v>76</v>
      </c>
      <c r="G54" s="33" t="str">
        <f aca="false">IF(ISNUMBER(C42),IF(ABS(C55-50*C42/C41*1000000)&gt;0.01*50*C42/C41*1000000,"⚠ RFC OVERRIDE DETECTED: C55 ("&amp;TEXT(C55,"0.000")&amp;" µH) ≠ default 50·R/ω ("&amp;TEXT(50*C42/C41*1000000,"0.000")&amp;" µH). ⚠ IMPORTANT: C1 and C2 reference C54 (Henrys). To correctly override RFC: type your value ÷ 1000000 (in Henrys) into C54 only, replacing its formula. C55 auto-updates to µH. Do NOT manually override C55 — this disconnects it from C54. If you only change C55, C1 and C2 do NOT update. Re-verify ZVS after any RFC change.","✅ RFC = default 50·R/ω — C1 and C2 corrections are self-consistent. ℹ To use a custom RFC: enter µH value in C55 AND enter the same value÷1e6 directly into C54 (replacing formula)."),"—")</f>
        <v>✅ RFC = default 50·R/ω — C1 and C2 corrections are self-consistent. ℹ To use a custom RFC: enter µH value in C55 AND enter the same value÷1e6 directly into C54 (replacing formula).</v>
      </c>
      <c r="H54" s="33" t="s">
        <v>77</v>
      </c>
      <c r="I54" s="17"/>
      <c r="J54" s="10"/>
      <c r="K54" s="8"/>
    </row>
    <row r="55" customFormat="false" ht="109.45" hidden="false" customHeight="false" outlineLevel="0" collapsed="false">
      <c r="A55" s="6"/>
      <c r="B55" s="8" t="s">
        <v>78</v>
      </c>
      <c r="C55" s="18" t="n">
        <f aca="false">IFERROR(IF(ISNUMBER(C54),C54*1000000,C54),"⚠ RFC formula error in C54")</f>
        <v>18.3535334627481</v>
      </c>
      <c r="D55" s="32" t="s">
        <v>70</v>
      </c>
      <c r="E55" s="40" t="str">
        <f aca="false">IFERROR(IF(ISNUMBER(C55),TEXT(10^INT(LOG10(ABS(C55)+1E-030))*CHOOSE(MATCH(C55/10^INT(LOG10(ABS(C55)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"&amp;D55,C55),"—")</f>
        <v>018 µH</v>
      </c>
      <c r="F55" s="33" t="str">
        <f aca="false">"RFC winding Q: wind on core with unloaded Q &gt; 100 at "&amp;TEXT(C18,"0")&amp;" MHz (this is the coil's own winding Q, not the reactance-to-R ratio). ⚠ SRF CHECK: Verify RFC self-resonant frequency (SRF) &gt; 10× operating frequency, i.e. SRF &gt; "&amp;TEXT(10*C18,"0")&amp;" MHz for this design. At HF, a large RFC inductance may self-resonate at or below the operating frequency and act as a capacitor — measure SRF with a VNA before installation. Saturation check: ensure core does not saturate at I_dc = "&amp;TEXT(C43,"0.000")&amp;" A (C43). Sokal QEX 2001: choke reactance ≥ 30×R; RFC (C54) uses 50×R/ω for margin."</f>
        <v>RFC winding Q: wind on core with unloaded Q &gt; 100 at 14 MHz (this is the coil's own winding Q, not the reactance-to-R ratio). ⚠ SRF CHECK: Verify RFC self-resonant frequency (SRF) &gt; 10× operating frequency, i.e. SRF &gt; 140 MHz for this design. At HF, a large RFC inductance may self-resonate at or below the operating frequency and act as a capacitor — measure SRF with a VNA before installation. Saturation check: ensure core does not saturate at I_dc = 0.000 A (C43). Sokal QEX 2001: choke reactance ≥ 30×R; RFC (C54) uses 50×R/ω for margin.</v>
      </c>
      <c r="G55" s="9"/>
      <c r="H55" s="33" t="str">
        <f aca="false">IF(C18&gt;10,"⚠ At "&amp;TEXT(C18,"0")&amp;" MHz, RFC SRF requirement is &gt; "&amp;TEXT(10*C18,"0")&amp;" MHz — very difficult for wound inductors. Consider a bias tee or SMD choke.","RFC SRF must be &gt; "&amp;TEXT(10*C18,"0")&amp;" MHz (10× operating freq)")</f>
        <v>⚠ At 14 MHz, RFC SRF requirement is &gt; 140 MHz — very difficult for wound inductors. Consider a bias tee or SMD choke.</v>
      </c>
      <c r="I55" s="8"/>
      <c r="J55" s="10"/>
      <c r="K55" s="8"/>
    </row>
    <row r="56" customFormat="false" ht="42.25" hidden="false" customHeight="false" outlineLevel="0" collapsed="false">
      <c r="A56" s="6"/>
      <c r="B56" s="8" t="s">
        <v>79</v>
      </c>
      <c r="C56" s="18" t="n">
        <f aca="false">IF(C19&lt;=1.7879,"⚠ QL≤min (1.7879) — C2→∞, Class-E boundary",IF(NOT(ISNUMBER(C52)),"⚠ C2 invalid",C50-1/(C52*C41^2)))</f>
        <v>4.50501719630906E-007</v>
      </c>
      <c r="D56" s="32" t="s">
        <v>67</v>
      </c>
      <c r="E56" s="40" t="str">
        <f aca="false">IF(ISNUMBER(C56),IF(C56&lt;0,"🚨 L_ser&lt;0: C2 too large or QL too low — L2-C2 branch is net capacitive. Increase QL or reduce C2 to restore Class-E operating condition.",IF(AND(ISNUMBER(C50),C56&lt;0.05*C50),"⚠ L_ser very small (&lt;5% of L2) — branch barely inductive. Poor ZVS likely without triggering zero-crossing alarm. Verify with LTspice before building.","✅ L_ser&gt;0 OK — L2-C2 branch correctly inductive at ω")),"")</f>
        <v>✅ L_ser&gt;0 OK — L2-C2 branch correctly inductive at ω</v>
      </c>
      <c r="F56" s="33" t="s">
        <v>80</v>
      </c>
      <c r="G56" s="9"/>
      <c r="H56" s="8"/>
      <c r="I56" s="8"/>
      <c r="J56" s="10"/>
      <c r="K56" s="8"/>
    </row>
    <row r="57" customFormat="false" ht="42.25" hidden="false" customHeight="false" outlineLevel="0" collapsed="false">
      <c r="A57" s="6"/>
      <c r="B57" s="8" t="s">
        <v>81</v>
      </c>
      <c r="C57" s="18" t="n">
        <f aca="false">IF(ISNUMBER(C56),C56*1000000,C56)</f>
        <v>0.450501719630906</v>
      </c>
      <c r="D57" s="32" t="s">
        <v>70</v>
      </c>
      <c r="E57" s="40"/>
      <c r="F57" s="33" t="s">
        <v>82</v>
      </c>
      <c r="G57" s="9"/>
      <c r="H57" s="8"/>
      <c r="I57" s="8"/>
      <c r="J57" s="10"/>
      <c r="K57" s="8"/>
    </row>
    <row r="58" customFormat="false" ht="55.7" hidden="false" customHeight="false" outlineLevel="0" collapsed="false">
      <c r="A58" s="6"/>
      <c r="B58" s="8" t="s">
        <v>83</v>
      </c>
      <c r="C58" s="18" t="n">
        <f aca="false">IF(C19&lt;=1.7879,"⚠ QL≤min (1.7879) — C2→∞, Class-E boundary",IF(NOT(ISNUMBER(C52)),"⚠ C2 invalid — check QL/frequency",C50))</f>
        <v>1.83535334627481E-006</v>
      </c>
      <c r="D58" s="32" t="s">
        <v>67</v>
      </c>
      <c r="E58" s="40"/>
      <c r="F58" s="33" t="s">
        <v>84</v>
      </c>
      <c r="G58" s="9"/>
      <c r="H58" s="8"/>
      <c r="I58" s="8"/>
      <c r="J58" s="10"/>
      <c r="K58" s="8"/>
    </row>
    <row r="59" customFormat="false" ht="28.85" hidden="false" customHeight="false" outlineLevel="0" collapsed="false">
      <c r="A59" s="6"/>
      <c r="B59" s="8" t="s">
        <v>85</v>
      </c>
      <c r="C59" s="18" t="n">
        <f aca="false">IF(ISNUMBER(C58),C58*1000000,C58)</f>
        <v>1.83535334627481</v>
      </c>
      <c r="D59" s="32" t="s">
        <v>70</v>
      </c>
      <c r="E59" s="40" t="str">
        <f aca="false">IFERROR(IF(ISNUMBER(C59),TEXT(10^INT(LOG10(ABS(C59)+1E-030))*CHOOSE(MATCH(C59/10^INT(LOG10(ABS(C59)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"&amp;D59,C59),"—")</f>
        <v>02 µH</v>
      </c>
      <c r="F59" s="33" t="s">
        <v>86</v>
      </c>
      <c r="G59" s="9"/>
      <c r="H59" s="8"/>
      <c r="I59" s="8"/>
      <c r="J59" s="10"/>
      <c r="K59" s="8"/>
    </row>
    <row r="60" customFormat="false" ht="15" hidden="false" customHeight="false" outlineLevel="0" collapsed="false">
      <c r="A60" s="6"/>
      <c r="B60" s="7"/>
      <c r="C60" s="7"/>
      <c r="D60" s="6"/>
      <c r="E60" s="8"/>
      <c r="F60" s="9"/>
      <c r="G60" s="9"/>
      <c r="H60" s="8"/>
      <c r="I60" s="8"/>
      <c r="J60" s="10"/>
      <c r="K60" s="8"/>
    </row>
    <row r="61" customFormat="false" ht="16.4" hidden="false" customHeight="false" outlineLevel="0" collapsed="false">
      <c r="A61" s="6"/>
      <c r="B61" s="36" t="s">
        <v>87</v>
      </c>
      <c r="C61" s="7"/>
      <c r="D61" s="6"/>
      <c r="E61" s="8"/>
      <c r="F61" s="9"/>
      <c r="G61" s="9"/>
      <c r="H61" s="8"/>
      <c r="I61" s="8"/>
      <c r="J61" s="10"/>
      <c r="K61" s="8"/>
    </row>
    <row r="62" customFormat="false" ht="15" hidden="false" customHeight="false" outlineLevel="0" collapsed="false">
      <c r="A62" s="6"/>
      <c r="B62" s="29" t="s">
        <v>8</v>
      </c>
      <c r="C62" s="29" t="s">
        <v>9</v>
      </c>
      <c r="D62" s="30" t="s">
        <v>10</v>
      </c>
      <c r="E62" s="29" t="s">
        <v>60</v>
      </c>
      <c r="F62" s="30" t="s">
        <v>48</v>
      </c>
      <c r="G62" s="30"/>
      <c r="H62" s="29"/>
      <c r="I62" s="29"/>
      <c r="J62" s="10"/>
      <c r="K62" s="8"/>
    </row>
    <row r="63" customFormat="false" ht="15" hidden="false" customHeight="false" outlineLevel="0" collapsed="false">
      <c r="A63" s="6"/>
      <c r="B63" s="8" t="s">
        <v>88</v>
      </c>
      <c r="C63" s="18" t="n">
        <f aca="false">C42</f>
        <v>32.289222500631</v>
      </c>
      <c r="D63" s="32" t="s">
        <v>22</v>
      </c>
      <c r="E63" s="8"/>
      <c r="F63" s="33" t="s">
        <v>89</v>
      </c>
      <c r="G63" s="9"/>
      <c r="H63" s="8"/>
      <c r="I63" s="8"/>
      <c r="J63" s="10"/>
      <c r="K63" s="8"/>
    </row>
    <row r="64" customFormat="false" ht="15" hidden="false" customHeight="false" outlineLevel="0" collapsed="false">
      <c r="A64" s="6"/>
      <c r="B64" s="8" t="s">
        <v>90</v>
      </c>
      <c r="C64" s="18" t="n">
        <f aca="false">C25</f>
        <v>50</v>
      </c>
      <c r="D64" s="32" t="s">
        <v>22</v>
      </c>
      <c r="E64" s="8"/>
      <c r="F64" s="33" t="s">
        <v>91</v>
      </c>
      <c r="G64" s="9"/>
      <c r="H64" s="8"/>
      <c r="I64" s="8"/>
      <c r="J64" s="10"/>
      <c r="K64" s="8"/>
    </row>
    <row r="65" customFormat="false" ht="42.25" hidden="false" customHeight="false" outlineLevel="0" collapsed="false">
      <c r="A65" s="6"/>
      <c r="B65" s="8" t="s">
        <v>92</v>
      </c>
      <c r="C65" s="18" t="n">
        <f aca="false">IF(ABS(C63-C64)&lt;0.01*MAX(C63,C64),0,SQRT(MAX(C63,C64)/MIN(C63,C64)-1))</f>
        <v>0.740610763852502</v>
      </c>
      <c r="D65" s="32" t="s">
        <v>18</v>
      </c>
      <c r="E65" s="8"/>
      <c r="F65" s="33" t="str">
        <f aca="false">IF(ABS(C63-C64)&lt;0.01*MAX(C63,C64),"ℹ R_drain ≈ Z_load — no L-network required. Connect drain circuit directly to load through a separate low-pass filter.",IF(C65&lt;2,"⚠ Low Q_match="&amp;TEXT(C65,"0.00")&amp;": L-network provides minimal harmonic filtering. Add a 5-element LPF for legal HF TX (−50 dBc required per IARU recommendation (−43 dBc per FCC §97.307)).","⚠ L-network gives impedance transform only — no harmonic filtering. Add low-pass filter between amplifier and antenna for regulatory compliance."))</f>
        <v>⚠ Low Q_match=0,74: L-network provides minimal harmonic filtering. Add a 5-element LPF for legal HF TX (−50 dBc required per IARU recommendation (−43 dBc per FCC §97.307)).</v>
      </c>
      <c r="G65" s="9"/>
      <c r="H65" s="8"/>
      <c r="I65" s="8"/>
      <c r="J65" s="10"/>
      <c r="K65" s="8"/>
    </row>
    <row r="66" customFormat="false" ht="69.15" hidden="false" customHeight="false" outlineLevel="0" collapsed="false">
      <c r="A66" s="6"/>
      <c r="B66" s="8" t="s">
        <v>93</v>
      </c>
      <c r="C66" s="18" t="n">
        <f aca="false">IF(C41&lt;=0,0,C65*MIN(C63,C64)/C41)</f>
        <v>2.71856488744767E-007</v>
      </c>
      <c r="D66" s="32" t="s">
        <v>67</v>
      </c>
      <c r="E66" s="8"/>
      <c r="F66" s="33" t="str">
        <f aca="false">IF(C70="Step-UP","Step-UP (R_drain &lt; Z_load): LOW-PASS topology — Series L_match from DRAIN node toward load (LOW-Z), then Shunt C_match at LOAD (HIGH-Z, 50Ω) node to GND. The shunt element is on the LOAD (HIGH-impedance) side. L_match=Q×R_min/ω; C_match=Q/(ω×R_max) where R_max=Z_load. ⚠ C_match is at the LOAD end (NOT the drain end).","Step-DOWN (R_drain &gt; Z_load): Shunt C_match from DRAIN node (high-Z) to GND first; then series L_match from drain toward load. L_match=Q×R_min/ω; C_match=Q/(ω×R_max). ⚠ C_match at DRAIN end (high-Z side).")</f>
        <v>Step-UP (R_drain &lt; Z_load): LOW-PASS topology — Series L_match from DRAIN node toward load (LOW-Z), then Shunt C_match at LOAD (HIGH-Z, 50Ω) node to GND. The shunt element is on the LOAD (HIGH-impedance) side. L_match=Q×R_min/ω; C_match=Q/(ω×R_max) where R_max=Z_load. ⚠ C_match is at the LOAD end (NOT the drain end).</v>
      </c>
      <c r="G66" s="9"/>
      <c r="H66" s="8"/>
      <c r="I66" s="8"/>
      <c r="J66" s="10"/>
      <c r="K66" s="8"/>
    </row>
    <row r="67" customFormat="false" ht="15" hidden="false" customHeight="false" outlineLevel="0" collapsed="false">
      <c r="A67" s="6"/>
      <c r="B67" s="8" t="s">
        <v>94</v>
      </c>
      <c r="C67" s="18" t="n">
        <f aca="false">C66*1000000</f>
        <v>0.271856488744767</v>
      </c>
      <c r="D67" s="32" t="s">
        <v>70</v>
      </c>
      <c r="E67" s="8" t="str">
        <f aca="false">IFERROR(IF(ISNUMBER(C67),TEXT(10^INT(LOG10(ABS(C67)+1E-030))*CHOOSE(MATCH(C67/10^INT(LOG10(ABS(C67)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"&amp;D67,C67),"—")</f>
        <v>0 µH</v>
      </c>
      <c r="F67" s="8"/>
      <c r="G67" s="9"/>
      <c r="H67" s="8"/>
      <c r="I67" s="8"/>
      <c r="J67" s="10"/>
      <c r="K67" s="8"/>
    </row>
    <row r="68" customFormat="false" ht="55.7" hidden="false" customHeight="false" outlineLevel="0" collapsed="false">
      <c r="A68" s="6"/>
      <c r="B68" s="8" t="s">
        <v>95</v>
      </c>
      <c r="C68" s="18" t="n">
        <f aca="false">IF(C41&lt;=0,0,C65/(C41*MAX(C63,C64)))</f>
        <v>1.68388377105986E-010</v>
      </c>
      <c r="D68" s="32" t="s">
        <v>62</v>
      </c>
      <c r="E68" s="8"/>
      <c r="F68" s="33" t="str">
        <f aca="false">IF(C70="Step-UP","Step-UP: C_match is the SHUNT element at the LOAD (Z_load, 50Ω, HIGH-Z) node — placed AFTER L_match (at the load/antenna end). LOW-PASS topology: Series L from drain → Shunt C at load end. C_match=Q/(ω×Z_load). ⚠ C_match is at the LOAD end, not the drain end.","Step-DOWN: C_match is the SHUNT element at the DRAIN (high-Z) node — placed BEFORE L_match. C_match=Q/(ω×R_drain).")</f>
        <v>Step-UP: C_match is the SHUNT element at the LOAD (Z_load, 50Ω, HIGH-Z) node — placed AFTER L_match (at the load/antenna end). LOW-PASS topology: Series L from drain → Shunt C at load end. C_match=Q/(ω×Z_load). ⚠ C_match is at the LOAD end, not the drain end.</v>
      </c>
      <c r="G68" s="9"/>
      <c r="H68" s="8"/>
      <c r="I68" s="8"/>
      <c r="J68" s="10"/>
      <c r="K68" s="8"/>
    </row>
    <row r="69" customFormat="false" ht="15" hidden="false" customHeight="false" outlineLevel="0" collapsed="false">
      <c r="A69" s="6"/>
      <c r="B69" s="8" t="s">
        <v>96</v>
      </c>
      <c r="C69" s="18" t="n">
        <f aca="false">C68*1000000000000</f>
        <v>168.388377105986</v>
      </c>
      <c r="D69" s="32" t="s">
        <v>30</v>
      </c>
      <c r="E69" s="8" t="str">
        <f aca="false">IFERROR(IF(ISNUMBER(C69),TEXT(10^INT(LOG10(ABS(C69)+1E-030))*CHOOSE(MATCH(C69/10^INT(LOG10(ABS(C69)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"&amp;D69,C69),"—")</f>
        <v>160 pF</v>
      </c>
      <c r="F69" s="8"/>
      <c r="G69" s="9"/>
      <c r="H69" s="8"/>
      <c r="I69" s="8"/>
      <c r="J69" s="10"/>
      <c r="K69" s="8"/>
    </row>
    <row r="70" customFormat="false" ht="109.45" hidden="false" customHeight="false" outlineLevel="0" collapsed="false">
      <c r="A70" s="6"/>
      <c r="B70" s="8" t="s">
        <v>97</v>
      </c>
      <c r="C70" s="41" t="str">
        <f aca="false">IF(C63&lt;C64,"Step-UP","Step-DOWN")</f>
        <v>Step-UP</v>
      </c>
      <c r="D70" s="32"/>
      <c r="E70" s="8"/>
      <c r="F70" s="33" t="s">
        <v>98</v>
      </c>
      <c r="G70" s="9"/>
      <c r="H70" s="8"/>
      <c r="I70" s="8"/>
      <c r="J70" s="10"/>
      <c r="K70" s="8"/>
    </row>
    <row r="71" customFormat="false" ht="15" hidden="false" customHeight="false" outlineLevel="0" collapsed="false">
      <c r="A71" s="6"/>
      <c r="B71" s="7"/>
      <c r="C71" s="7"/>
      <c r="D71" s="6"/>
      <c r="E71" s="8"/>
      <c r="F71" s="9"/>
      <c r="G71" s="9"/>
      <c r="H71" s="8"/>
      <c r="I71" s="8"/>
      <c r="J71" s="10"/>
      <c r="K71" s="8"/>
    </row>
    <row r="72" customFormat="false" ht="16.4" hidden="false" customHeight="false" outlineLevel="0" collapsed="false">
      <c r="A72" s="6"/>
      <c r="B72" s="36" t="s">
        <v>99</v>
      </c>
      <c r="C72" s="7"/>
      <c r="D72" s="6"/>
      <c r="E72" s="8"/>
      <c r="F72" s="9"/>
      <c r="G72" s="9"/>
      <c r="H72" s="8"/>
      <c r="I72" s="8"/>
      <c r="J72" s="10"/>
      <c r="K72" s="8"/>
    </row>
    <row r="73" customFormat="false" ht="15" hidden="false" customHeight="false" outlineLevel="0" collapsed="false">
      <c r="A73" s="6"/>
      <c r="B73" s="29" t="s">
        <v>8</v>
      </c>
      <c r="C73" s="29" t="s">
        <v>9</v>
      </c>
      <c r="D73" s="30" t="s">
        <v>10</v>
      </c>
      <c r="E73" s="29" t="s">
        <v>60</v>
      </c>
      <c r="F73" s="30" t="s">
        <v>48</v>
      </c>
      <c r="G73" s="30"/>
      <c r="H73" s="29"/>
      <c r="I73" s="29"/>
      <c r="J73" s="10"/>
      <c r="K73" s="8"/>
    </row>
    <row r="74" customFormat="false" ht="28.85" hidden="false" customHeight="false" outlineLevel="0" collapsed="false">
      <c r="A74" s="6"/>
      <c r="B74" s="8" t="s">
        <v>100</v>
      </c>
      <c r="C74" s="18" t="n">
        <f aca="false">IFERROR(IF(C18&lt;=0,"⚠ Frequency must be &gt; 0 MHz",1/(C41*C27*0.000000000001)),0)</f>
        <v>189.470170347494</v>
      </c>
      <c r="D74" s="32" t="s">
        <v>22</v>
      </c>
      <c r="E74" s="8"/>
      <c r="F74" s="33" t="s">
        <v>101</v>
      </c>
      <c r="G74" s="9"/>
      <c r="H74" s="33" t="str">
        <f aca="false">IF(C74&lt;3*C28,"⚠ Xciss≈Rgate: series-resonance approximation inaccurate. Use full complex-load synthesis (ADS/LTspice recommended).","ℹ Xciss="&amp;TEXT(ROUND(C74,1),"0.0")&amp;"Ω | Rgate="&amp;TEXT(C28,"0")&amp;"Ω | ratio="&amp;TEXT(ROUND(C74/C28,1),"0.0")&amp;"× — series-resonance model ("&amp;IF(C74&gt;3*C28,"accurate","marginal")&amp;")")</f>
        <v>ℹ Xciss=190Ω | Rgate=10Ω | ratio=19× — series-resonance model (accurate)</v>
      </c>
      <c r="I74" s="8"/>
      <c r="J74" s="10"/>
      <c r="K74" s="8"/>
    </row>
    <row r="75" customFormat="false" ht="28.85" hidden="false" customHeight="false" outlineLevel="0" collapsed="false">
      <c r="A75" s="6"/>
      <c r="B75" s="8" t="s">
        <v>102</v>
      </c>
      <c r="C75" s="18" t="n">
        <f aca="false">SQRT(C74^2+C28^2)</f>
        <v>189.733880610471</v>
      </c>
      <c r="D75" s="32" t="s">
        <v>22</v>
      </c>
      <c r="E75" s="8"/>
      <c r="F75" s="33" t="s">
        <v>103</v>
      </c>
      <c r="G75" s="9"/>
      <c r="H75" s="8"/>
      <c r="I75" s="8"/>
      <c r="J75" s="10"/>
      <c r="K75" s="8"/>
    </row>
    <row r="76" customFormat="false" ht="15" hidden="false" customHeight="false" outlineLevel="0" collapsed="false">
      <c r="A76" s="6"/>
      <c r="B76" s="8" t="s">
        <v>104</v>
      </c>
      <c r="C76" s="18" t="n">
        <f aca="false">C24</f>
        <v>50</v>
      </c>
      <c r="D76" s="32" t="s">
        <v>22</v>
      </c>
      <c r="E76" s="8"/>
      <c r="F76" s="33" t="s">
        <v>105</v>
      </c>
      <c r="G76" s="9"/>
      <c r="H76" s="8"/>
      <c r="I76" s="8"/>
      <c r="J76" s="10"/>
      <c r="K76" s="8"/>
    </row>
    <row r="77" customFormat="false" ht="82.55" hidden="false" customHeight="false" outlineLevel="0" collapsed="false">
      <c r="A77" s="6"/>
      <c r="B77" s="8" t="s">
        <v>106</v>
      </c>
      <c r="C77" s="18" t="n">
        <f aca="false">IF(C28=0,0,SQRT(MAX(MAX(C76,C28)/MIN(C76,C28)-1,0)))</f>
        <v>2</v>
      </c>
      <c r="D77" s="32" t="s">
        <v>18</v>
      </c>
      <c r="E77" s="8"/>
      <c r="F77" s="33" t="s">
        <v>107</v>
      </c>
      <c r="G77" s="9"/>
      <c r="H77" s="8"/>
      <c r="I77" s="8"/>
      <c r="J77" s="10"/>
      <c r="K77" s="8"/>
    </row>
    <row r="78" customFormat="false" ht="109.45" hidden="false" customHeight="false" outlineLevel="0" collapsed="false">
      <c r="A78" s="6"/>
      <c r="B78" s="8" t="s">
        <v>108</v>
      </c>
      <c r="C78" s="18" t="n">
        <f aca="false">IF(C74&lt;3*C28,"⚠ Xciss&lt;3×Rgate: series-resonance model invalid — use complex L-network synthesis (ADS/LTspice).",(C74+C77*MIN(C76,C28))/C41*1000000)</f>
        <v>2.38130093150751</v>
      </c>
      <c r="D78" s="32" t="s">
        <v>70</v>
      </c>
      <c r="E78" s="8" t="str">
        <f aca="false">IF(C74/C28&lt;3,"— (model invalid)",IFERROR(IF(ISNUMBER(C78),TEXT(10^INT(LOG10(ABS(C78)+1E-030))*CHOOSE(MATCH(C78/10^INT(LOG10(ABS(C78)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"&amp;D78,C78),"—"))</f>
        <v>02 µH</v>
      </c>
      <c r="F78" s="33" t="s">
        <v>109</v>
      </c>
      <c r="G78" s="9"/>
      <c r="H78" s="33" t="str">
        <f aca="false">IF(C74/C28&gt;=10,"ℹ Xciss/Rgate="&amp;TEXT(ROUND(C74/C28,0),"0")&amp;"× ≥ 10 — Series resonance dominates. L_in=1/(ω²·Ciss)+Q·R_min/ω="&amp;TEXT((C74+C77*MIN(C76,C28))/C41*1000000,"0.000")&amp;"µH (transformation term="&amp;TEXT(C77*MIN(C76,C28)/C41*1000000,"0.000")&amp;"µH, "&amp;TEXT(C77*MIN(C76,C28)/(C74+C77*MIN(C76,C28))*100,"0.1")&amp;"% of total). Verify with LTspice.",IF(C74/C28&gt;=5,"⚠ Xciss/Rgate="&amp;TEXT(ROUND(C74/C28,1),"0.0")&amp;"× ∈[5,10) — Marginal series-resonance. L_in includes both resonating+transformation terms. Verify with LTspice simulation.",IF(C74&lt;3*C28,"⚠ Xciss ≈ R_gate: complex-load synthesis recommended.","⚠ Xciss/Rgate="&amp;TEXT(ROUND(C74/C28,1),"0.0")&amp;"× ∈[3,5) — L_in includes resonating+transformation terms. Verify with ADS/LTspice.")))</f>
        <v>ℹ Xciss/Rgate=19× ≥ 10 — Series resonance dominates. L_in=1/(ω²·Ciss)+Q·R_min/ω=0.002µH (transformation term=0.000µH, 0% of total). Verify with LTspice.</v>
      </c>
      <c r="I78" s="8"/>
      <c r="J78" s="10"/>
      <c r="K78" s="8"/>
    </row>
    <row r="79" customFormat="false" ht="82.55" hidden="false" customHeight="false" outlineLevel="0" collapsed="false">
      <c r="A79" s="6"/>
      <c r="B79" s="8" t="s">
        <v>110</v>
      </c>
      <c r="C79" s="18" t="str">
        <f aca="false">IF(C74/C28&gt;=10,"⚠ C_in negligible — omit (Xciss/Rgate≥10; series resonance dominates)",IF(C74/C28&lt;3,"⚠ Model invalid — Xciss&lt;3×Rgate; use full complex-load synthesis (ADS/LTspice)",IF(C76&gt;=C28,C77/(C41*C76)*1000000000000,C77/(C41*C28)*1000000000000)))</f>
        <v>⚠ C_in negligible — omit (Xciss/Rgate≥10; series resonance dominates)</v>
      </c>
      <c r="D79" s="32" t="s">
        <v>30</v>
      </c>
      <c r="E79" s="8" t="str">
        <f aca="false">IF(C74/C28&gt;=10,"— (C_in negligible; omit)",IF(C74/C28&lt;3,"— (model invalid)",IFERROR(IF(ISNUMBER(C79),TEXT(10^INT(LOG10(ABS(C79)+1E-030))*CHOOSE(MATCH(C79/10^INT(LOG10(ABS(C79)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"&amp;D79,C79),"—")))</f>
        <v>— (C_in negligible; omit)</v>
      </c>
      <c r="F79" s="33" t="s">
        <v>111</v>
      </c>
      <c r="G79" s="9"/>
      <c r="H79" s="8"/>
      <c r="I79" s="8"/>
      <c r="J79" s="10"/>
      <c r="K79" s="8"/>
    </row>
    <row r="80" customFormat="false" ht="15" hidden="false" customHeight="false" outlineLevel="0" collapsed="false">
      <c r="A80" s="6"/>
      <c r="B80" s="7"/>
      <c r="C80" s="7"/>
      <c r="D80" s="6"/>
      <c r="E80" s="8"/>
      <c r="F80" s="9"/>
      <c r="G80" s="9"/>
      <c r="H80" s="8"/>
      <c r="I80" s="8"/>
      <c r="J80" s="10"/>
      <c r="K80" s="8"/>
    </row>
    <row r="81" customFormat="false" ht="16.4" hidden="false" customHeight="false" outlineLevel="0" collapsed="false">
      <c r="A81" s="6"/>
      <c r="B81" s="36" t="s">
        <v>112</v>
      </c>
      <c r="C81" s="7"/>
      <c r="D81" s="6"/>
      <c r="E81" s="8"/>
      <c r="F81" s="9"/>
      <c r="G81" s="9"/>
      <c r="H81" s="8"/>
      <c r="I81" s="8"/>
      <c r="J81" s="10"/>
      <c r="K81" s="8"/>
    </row>
    <row r="82" customFormat="false" ht="15" hidden="false" customHeight="false" outlineLevel="0" collapsed="false">
      <c r="A82" s="6"/>
      <c r="B82" s="29" t="s">
        <v>8</v>
      </c>
      <c r="C82" s="29" t="s">
        <v>9</v>
      </c>
      <c r="D82" s="30" t="s">
        <v>10</v>
      </c>
      <c r="E82" s="29"/>
      <c r="F82" s="30" t="s">
        <v>48</v>
      </c>
      <c r="G82" s="30"/>
      <c r="H82" s="29"/>
      <c r="I82" s="29"/>
      <c r="J82" s="10"/>
      <c r="K82" s="8"/>
    </row>
    <row r="83" customFormat="false" ht="96" hidden="false" customHeight="false" outlineLevel="0" collapsed="false">
      <c r="A83" s="6"/>
      <c r="B83" s="8" t="s">
        <v>113</v>
      </c>
      <c r="C83" s="18" t="n">
        <f aca="false">3.562*(C16-C35-C20)+C20</f>
        <v>17.81</v>
      </c>
      <c r="D83" s="32" t="s">
        <v>12</v>
      </c>
      <c r="E83" s="8"/>
      <c r="F83" s="33" t="s">
        <v>114</v>
      </c>
      <c r="G83" s="9"/>
      <c r="H83" s="8" t="str">
        <f aca="false">IF(C35&gt;0, "⚠ DROOP WARNING: ΔV="&amp;TEXT(C35,"0.00")&amp;"V reduces V_pk to "&amp;TEXT(C83,"0.0")&amp;"V vs no-droop "&amp;TEXT(3.562*(C16-C20)+C20,"0.0")&amp;"V. RFC choke partially decouples drain from supply droop under RF — verify V_pk with LTspice when ΔV&gt;0.5V. For V_DSS safety, use no-droop V_pk="&amp;TEXT(3.562*(C16-C20)+C20,"0.0")&amp;"V in C84.", "")</f>
        <v/>
      </c>
      <c r="I83" s="8"/>
      <c r="J83" s="10"/>
      <c r="K83" s="8"/>
    </row>
    <row r="84" customFormat="false" ht="69.15" hidden="false" customHeight="false" outlineLevel="0" collapsed="false">
      <c r="A84" s="6"/>
      <c r="B84" s="8" t="s">
        <v>115</v>
      </c>
      <c r="C84" s="18" t="n">
        <f aca="false">C37*MAX(C83,3.562*(C16-C20)+C20)</f>
        <v>53.43</v>
      </c>
      <c r="D84" s="32" t="s">
        <v>12</v>
      </c>
      <c r="E84" s="8"/>
      <c r="F84" s="33" t="str">
        <f aca="false">"V_DSS ≥ "&amp;TEXT(C84,"0")&amp;"V ("&amp;TEXT(C37,"0.0")&amp;"× safety margin. V_pk_nominal="&amp;TEXT(C83,"0.0")&amp;"V; V_pk_no_droop="&amp;TEXT(3.562*(C16-C20)+C20,"0.0")&amp;"V × "&amp;TEXT(C37,"0.0")&amp;"). ⚠ C84 uses MAX(V_pk, V_pk_no_droop) so supply droop (ΔV) never reduces V_DSS requirement — drain voltage under RF is not affected by supply droop via RFC. Mistuned V_pk can reach 5×Vcc; increase safety factor for worst-case designs."</f>
        <v>V_DSS ≥ 53V (03× safety margin. V_pk_nominal=18V; V_pk_no_droop=18V × 03). ⚠ C84 uses MAX(V_pk, V_pk_no_droop) so supply droop (ΔV) never reduces V_DSS requirement — drain voltage under RF is not affected by supply droop via RFC. Mistuned V_pk can reach 5×Vcc; increase safety factor for worst-case designs.</v>
      </c>
      <c r="G84" s="9"/>
      <c r="H84" s="33" t="str">
        <f aca="false">IF(C84&lt;4*C83,"⚠ Consider 4× margin (V_DSS ≥ "&amp;TEXT(4*C83,"0")&amp;"V) for worst-case 5×Vcc mistuning scenario.","")</f>
        <v>⚠ Consider 4× margin (V_DSS ≥ 71V) for worst-case 5×Vcc mistuning scenario.</v>
      </c>
      <c r="I84" s="33" t="str">
        <f aca="false">IF(C16*5&gt;IFERROR(VLOOKUP(B9,'MOSFET Reference Table'!$A:$C,3,0)*1,9999),"🚨 WORST-CASE FAIL: 5×Vcc="&amp;TEXT(C16*5,"0")&amp;"V &gt; V_DSS="&amp;TEXT(IFERROR(VLOOKUP(B9,'MOSFET Reference Table'!$A:$C,3,0)*1,9999),"0")&amp;"V — device WILL fail under mistuning!","✅ Worst-case 5×Vcc="&amp;TEXT(C16*5,"0")&amp;"V &lt; V_DSS="&amp;TEXT(IFERROR(VLOOKUP(B9,'MOSFET Reference Table'!$A:$C,3,0)*1,9999),"0")&amp;"V — safe under mistuning.")</f>
        <v>✅ Worst-case 5×Vcc=25V &lt; V_DSS=60V — safe under mistuning.</v>
      </c>
      <c r="J84" s="10"/>
      <c r="K84" s="8"/>
    </row>
    <row r="85" customFormat="false" ht="42.25" hidden="false" customHeight="false" outlineLevel="0" collapsed="false">
      <c r="A85" s="6"/>
      <c r="B85" s="8" t="s">
        <v>116</v>
      </c>
      <c r="C85" s="18" t="n">
        <f aca="false">IF(AND(ISNUMBER(C42),ISNUMBER(C54)),3.562*(C16-C35-C20)*(1+0.6*C42/(C41*C54))+C20,"⚠ R invalid — set QL ≥ 1.7879")</f>
        <v>18.02372</v>
      </c>
      <c r="D85" s="32" t="s">
        <v>12</v>
      </c>
      <c r="E85" s="8"/>
      <c r="F85" s="33" t="s">
        <v>117</v>
      </c>
      <c r="G85" s="9" t="str">
        <f aca="false">IF(C20&gt;0,"⚠ C85 informational only — use C84 for device selection.","")</f>
        <v/>
      </c>
      <c r="H85" s="8"/>
      <c r="I85" s="8"/>
      <c r="J85" s="10"/>
      <c r="K85" s="8"/>
    </row>
    <row r="86" customFormat="false" ht="15" hidden="false" customHeight="false" outlineLevel="0" collapsed="false">
      <c r="A86" s="6"/>
      <c r="B86" s="8" t="s">
        <v>118</v>
      </c>
      <c r="C86" s="18" t="n">
        <f aca="false">2.862*C43</f>
        <v>0.303909742275157</v>
      </c>
      <c r="D86" s="32" t="s">
        <v>55</v>
      </c>
      <c r="E86" s="8"/>
      <c r="F86" s="33" t="s">
        <v>119</v>
      </c>
      <c r="G86" s="9"/>
      <c r="H86" s="8"/>
      <c r="I86" s="8"/>
      <c r="J86" s="10"/>
      <c r="K86" s="8"/>
    </row>
    <row r="87" customFormat="false" ht="28.85" hidden="false" customHeight="false" outlineLevel="0" collapsed="false">
      <c r="A87" s="6"/>
      <c r="B87" s="8" t="s">
        <v>120</v>
      </c>
      <c r="C87" s="18" t="n">
        <f aca="false">C43</f>
        <v>0.106187890382655</v>
      </c>
      <c r="D87" s="32" t="s">
        <v>55</v>
      </c>
      <c r="E87" s="8"/>
      <c r="F87" s="33" t="s">
        <v>121</v>
      </c>
      <c r="G87" s="9"/>
      <c r="H87" s="8"/>
      <c r="I87" s="8"/>
      <c r="J87" s="10"/>
      <c r="K87" s="8"/>
    </row>
    <row r="88" customFormat="false" ht="109.45" hidden="false" customHeight="false" outlineLevel="0" collapsed="false">
      <c r="A88" s="6"/>
      <c r="B88" s="8" t="s">
        <v>122</v>
      </c>
      <c r="C88" s="18" t="n">
        <f aca="false">IF(NOT(ISNUMBER(C42)),"⚠ R (C42) invalid — fix QL in C19 first",IFERROR(IF(NOT(ISNUMBER(VLOOKUP(B9,'MOSFET Reference Table'!$A:$E,5,0)*1)),"⚠ LDMOS/no Rds — using input η="&amp;TEXT(C21,"0%"),IF(J90&gt;=C42,"🚨 η&lt;0: Rds losses exceed R — device unsuitable at this operating point",IF(NOT(ISNUMBER(J96)),J92,IF(J96&lt;0,"🚨 η&lt;0: Total losses (resistive+switching+RFC+Coss) exceed input power — device unsuitable",MAX(MIN(J96,0.99),0.01))))),C21))</f>
        <v>0.753381574035562</v>
      </c>
      <c r="D88" s="32" t="s">
        <v>18</v>
      </c>
      <c r="E88" s="8" t="str">
        <f aca="false">IF(ISNUMBER(C88),IF(ABS(C88-C21)&gt;0.005,"ℹ Analytical η="&amp;TEXT(C88,"0.0%")&amp;" (room-temp Rds only). C20 informational. ⚠ THERMAL: if C92&lt;999, see I88 for derated η — C88 does NOT auto-update with thermal derating.","✅ η analytical — self-consistent. If C92&lt;999 entered, check I88 for thermally-derated η (not fed into C88)."),"—")</f>
        <v>ℹ Analytical η=75% (room-temp Rds only). C20 informational. ⚠ THERMAL: if C92&lt;999, see I88 for derated η — C88 does NOT auto-update with thermal derating.</v>
      </c>
      <c r="F88" s="33" t="str">
        <f aca="false">IF(IFERROR(VLOOKUP(B9,'MOSFET Reference Table'!$A:$I,9,0)*1,0)=0,IF(C18&lt;1,"ℹ fT not rated (VLF/LF design) — fT=0 warning suppressed for f&lt;1 MHz. Analytical η: eta_res=R/(R+losses). RFC loss = ESR_RFC×I_dc²/P_in where P_in=(Vcc−ΔV)×I_dc (replaces Sokal −0.01 fixed term; denominator is P_in NOT P_out). p_coss=½·Coss_eff·V_pk²·f·k_coss — k_coss (I36 — auto from MOSFET type; to override: replace I36 formula with your value, default 0.25) is the ZVS energy factor: 0.35–0.50 for Si-DMOS poor ZVS; 0.05–0.10 for RF LDMOS; 0.25 for unknown. Losses: ESR_L2(C22), ESR_C2(C30), 1.365×Rds(on), 0.2116×ESR_C1(C31).","ℹ fT=0: MOSFET not rated for RF — verify suitability at this frequency."),IF(IFERROR(VLOOKUP(B9,'MOSFET Reference Table'!$A:$I,9,0)*1,0)&lt;C18,"⚠ fT ("&amp;TEXT(IFERROR(VLOOKUP(B9,'MOSFET Reference Table'!$A:$I,9,0)*1,0),"0")&amp;" MHz)"&amp;" &lt; f ("&amp;TEXT(C18,"0")&amp;" MHz) — operating above fT: efficiency will be significantly lower than predicted.","ℹ Analytical η: eta_res=R/(R+losses). RFC actual loss = ESR_RFC×I_dc²/P_in where P_in=(Vcc−ΔV)×I_dc [Note: Vo NOT subtracted in P_in denominator — Vo is a drop inside the device, not before the supply current node] (replaces Sokal 1% term; denominator is P_in NOT P_out). Coss term uses empirical ZVS energy factor (I36). The ZVS factor is theoretically 0 for ideal ZVS and up to 0.5 for poor ZVS — verify with LTspice for high-Coss devices or VLF designs."))</f>
        <v>ℹ Analytical η: eta_res=R/(R+losses). RFC actual loss = ESR_RFC×I_dc²/P_in where P_in=(Vcc−ΔV)×I_dc [Note: Vo NOT subtracted in P_in denominator — Vo is a drop inside the device, not before the supply current node] (replaces Sokal 1% term; denominator is P_in NOT P_out). Coss term uses empirical ZVS energy factor (I36). The ZVS factor is theoretically 0 for ideal ZVS and up to 0.5 for poor ZVS — verify with LTspice for high-Coss devices or VLF designs.</v>
      </c>
      <c r="G88" s="9"/>
      <c r="H88" s="33" t="str">
        <f aca="false">IF(IFERROR(VLOOKUP(B9,'MOSFET Reference Table'!$A:$I,9,0)*1,0)=0,IF(C18&lt;1,"ℹ fT not rated (VLF/LF design) — fT=0 warning suppressed for f&lt;1 MHz.","⚠ fT=0: MOSFET not rated for RF — verify suitability at this frequency."),IF(IFERROR(VLOOKUP(B9,'MOSFET Reference Table'!$A:$I,9,0)*1,0)&lt;C18,"⚠ fT &lt; operating frequency — MOSFET too slow for Class-E at "&amp;TEXT(C18,"0")&amp;" MHz.","ℹ Switching loss uses tf≈2.5/fT approximation (Sokal). Actual tf varies ±3× from this estimate. Enter measured tf (ns) in C34 for best accuracy."))</f>
        <v>ℹ Switching loss uses tf≈2.5/fT approximation (Sokal). Actual tf varies ±3× from this estimate. Enter measured tf (ns) in C34 for best accuracy.</v>
      </c>
      <c r="I88" s="33" t="str">
        <f aca="false">IF(C92&gt;=999,"ℹ Enter θ_JA in C90 to compute derated η",IF(NOT(ISNUMBER(C88)),"—",IF(J100&gt;200,"⚠ T_j estimate exceeds 200°C — thermal design required","ℹ T_j≈"&amp;TEXT(J100,"0")&amp;"°C | Rds derated "&amp;TEXT(((J100+273)/298)^J101,"0.00")&amp;"× | Derated η≈"&amp;TEXT(J104,"0.0%")&amp;" vs room-temp η="&amp;TEXT(C88,"0.0%")&amp;" (Δη="&amp;TEXT(C88-J104,"0.0%")&amp;" lower)")))</f>
        <v>ℹ Enter θ_JA in C90 to compute derated η</v>
      </c>
      <c r="J88" s="10" t="n">
        <f aca="false">IFERROR(VLOOKUP(B9,'MOSFET Reference Table'!$A:$E,5,0)*1,"#NA")</f>
        <v>5</v>
      </c>
      <c r="K88" s="8"/>
    </row>
    <row r="89" customFormat="false" ht="96" hidden="false" customHeight="false" outlineLevel="0" collapsed="false">
      <c r="A89" s="6"/>
      <c r="B89" s="8" t="s">
        <v>123</v>
      </c>
      <c r="C89" s="18" t="n">
        <f aca="false">(C16-C35)*C43-C17</f>
        <v>0.130939451913273</v>
      </c>
      <c r="D89" s="32" t="s">
        <v>14</v>
      </c>
      <c r="E89" s="8" t="str">
        <f aca="false">IF(C20&gt;0,"⚠ BJT P_diss WARNING: sheet overestimates P_diss by +"&amp;TEXT((C16/(C16-C20)-1)*100,"0.0")&amp;"% (= Vo/(Vcc−Vo)×100 = "&amp; TEXT(C20,"0.0")&amp;"V/("&amp;TEXT(C16,"0.0")&amp;"−"&amp;TEXT(C20,"0.0")&amp;")V×100). True P_diss = "&amp;TEXT(C17*(1/IF(ISNUMBER(C88),C88,C21)-1),"0.000")&amp;" W. C89 is conservatively safe for heatsink selection.","✅ MOSFET (Vo=0): C89 is exact")</f>
        <v>✅ MOSFET (Vo=0): C89 is exact</v>
      </c>
      <c r="F89" s="33" t="s">
        <v>124</v>
      </c>
      <c r="G89" s="33" t="str">
        <f aca="false">IF(C20&gt;0, "Exact P_diss (BJT)="&amp;TEXT(C17*(1/IF(ISNUMBER(C88),C88,C21)-1),"0.000")&amp;" W  |  Sheet C89 overestimates by "&amp;TEXT((C89-C17*(1/IF(ISNUMBER(C88),C88,C21)-1))/ABS(C17*(1/IF(ISNUMBER(C88),C88,C21)-1))*100,"0.0")&amp;"%  ← Use this for thermal design when Vo&gt;0", "✅ MOSFET (Vo=0): C89 exact")</f>
        <v>✅ MOSFET (Vo=0): C89 exact</v>
      </c>
      <c r="H89" s="8"/>
      <c r="I89" s="33" t="s">
        <v>125</v>
      </c>
      <c r="J89" s="10" t="n">
        <f aca="false">IFERROR(VLOOKUP(B9,'MOSFET Reference Table'!$A:$I,9,0)*1,0)</f>
        <v>300</v>
      </c>
      <c r="K89" s="8"/>
    </row>
    <row r="90" customFormat="false" ht="96" hidden="false" customHeight="false" outlineLevel="0" collapsed="false">
      <c r="A90" s="6"/>
      <c r="B90" s="8" t="s">
        <v>126</v>
      </c>
      <c r="C90" s="18" t="n">
        <f aca="false">IF(C89&lt;=0,"N/A (P_diss ≈0)",(IFERROR(INDEX('MOSFET Reference Table'!$M:$M,MATCH(B9,'MOSFET Reference Table'!$A:$A,0)),IF((IFERROR(INDEX('MOSFET Reference Table'!$P:$P,MATCH(B9,'MOSFET Reference Table'!$A:$A,0)),""))="LDMOS",200,150))-C29)/IFERROR(IF(ISNUMBER(J88),MAX(MIN(J99,C89),0.001),MAX(MIN(C89,C89),0.001)),C89))</f>
        <v>1101.96906802289</v>
      </c>
      <c r="D90" s="32" t="s">
        <v>127</v>
      </c>
      <c r="E90" s="8"/>
      <c r="F90" s="33" t="s">
        <v>128</v>
      </c>
      <c r="G90" s="9"/>
      <c r="H90" s="33" t="str">
        <f aca="false">IF(NOT(ISNUMBER(C90)),"—",IF(C92&gt;=999,"ℹ Enter actual θ_JA (C92) to estimate T_j",IF(C89&lt;=0,"✅ T_j ≈ "&amp;TEXT(C29,"0")&amp;"°C (P_diss≈0)",IF(J105&gt;100,"⚠ T_j ≈ "&amp;TEXT(J105,"0")&amp;"°C: Rds(on) derated ~"&amp;TEXT(((J105+273)/298)^2.3,"0.0")&amp;"× — actual η lower than predicted.","✅ T_j ≈ "&amp;TEXT(J105,"0")&amp;"°C"))))</f>
        <v>ℹ Enter actual θ_JA (C92) to estimate T_j</v>
      </c>
      <c r="I90" s="33" t="str">
        <f aca="false">IF(IFERROR(INDEX('MOSFET Reference Table'!$P:$P,MATCH(B9,'MOSFET Reference Table'!$A:$A,0)),"")="LDMOS","⚠ LDMOS THERMAL NOTE: θ_JA (C90) denominator uses total P_diss (C89) which includes external component losses (ESR_L2, ESR_C2, ESR_C1) that heat passive components, NOT the MOSFET die. Actual MOSFET-only dissipation is typically 60–80% of C89 for LDMOS. C90 is conservative (requires better heatsink than strictly needed). For a tighter estimate: multiply C89 by 0.65–0.80 and use as denominator manually.","✅ Rds(on) available — J98 computes MOSFET-only dissipation for C90 (correct).")</f>
        <v>✅ Rds(on) available — J98 computes MOSFET-only dissipation for C90 (correct).</v>
      </c>
      <c r="J90" s="10" t="n">
        <f aca="false">IF(ISNUMBER(J88),C22+C30+1.365*J88+0.2116*C31,0)</f>
        <v>6.887116</v>
      </c>
      <c r="K90" s="8"/>
    </row>
    <row r="91" customFormat="false" ht="190" hidden="false" customHeight="false" outlineLevel="0" collapsed="false">
      <c r="A91" s="6"/>
      <c r="B91" s="8" t="s">
        <v>129</v>
      </c>
      <c r="C91" s="18" t="str">
        <f aca="false">IF(NOT(ISNUMBER(C19)),"—",IF(C19&lt;=1.7879,"⚠ QL≤min (1.7879) — C2→∞, Class-E boundary",IFERROR(IF(ISNUMBER(C52),"C2·ω·R="&amp;TEXT((C52+0.2/(C41^2*C54))*C41*C42,"0.00000")&amp;" | Sokal Eq.9="&amp;TEXT((1/(C19-0.104823))*(1.00121+1.01468/(C19-1.7879)),"0.00000")&amp;IF(ABS((C52+0.2/(C41^2*C54))*C41*C42-(1/(C19-0.104823))*(1.00121+1.01468/(C19-1.7879)))&gt;0.0005," ⚠MISMATCH"," ✔OK"),"⚠ C52 (C2) not numeric — check QL in C19"),"⚠ ERROR")))</f>
        <v>C2·ω·R=000.000 | Sokal Eq.9=000.000 ✔OK</v>
      </c>
      <c r="D91" s="32" t="s">
        <v>18</v>
      </c>
      <c r="E91" s="8"/>
      <c r="F91" s="33" t="s">
        <v>130</v>
      </c>
      <c r="G91" s="33" t="str">
        <f aca="false">IF(ISNUMBER(C42),"ℹ RFC COEFFICIENT NOTE: The C91 cross-check is TAUTOLOGICAL for the RFC coefficients 0.6 (C1) and 0.2 (C2) — they algebraically cancel out in (C52 + 0.2/(ω²·RFC))·ω·R, so C91 CANNOT detect an error in these terms. C91 only verifies the Sokal QL polynomial. To independently verify RFC coefficients: (1) temporarily set C54 to a very large value (e.g. 1e6 H), (2) compare C53·ω·R to Sokal Eq.9, (3) restore C54 formula. The 0.2 and 0.6 values are from Sokal QEX 2001 Table I curve-fitting and are correct as published.","—")</f>
        <v>ℹ RFC COEFFICIENT NOTE: The C91 cross-check is TAUTOLOGICAL for the RFC coefficients 0.6 (C1) and 0.2 (C2) — they algebraically cancel out in (C52 + 0.2/(ω²·RFC))·ω·R, so C91 CANNOT detect an error in these terms. C91 only verifies the Sokal QL polynomial. To independently verify RFC coefficients: (1) temporarily set C54 to a very large value (e.g. 1e6 H), (2) compare C53·ω·R to Sokal Eq.9, (3) restore C54 formula. The 0.2 and 0.6 values are from Sokal QEX 2001 Table I curve-fitting and are correct as published.</v>
      </c>
      <c r="H91" s="33" t="str">
        <f aca="false">IF(ISNUMBER(C19),IF(C19&lt;=1.7879,"—","ℹ INDEPENDENT RFC-COEFF CHECK (QL from C19): "&amp;"C2_base=(1/(QL-0.1048))*(1.00121+1.01468/(QL-1.7879))="&amp;TEXT((1/(C19-0.104823))*(1.00121+1.01468/(C19-1.7879)),"0.00000")&amp;" | RFC correction on C2: −0.2/(ω²·RFC)="&amp;TEXT(0.2/(C41^2*C54)*(C41*C42),"0.00000")&amp;" (contributes "&amp;TEXT(0.2/(C41^2*C54)*C41*C42/(C52*C41*C42+0.2/(C41^2*C54)*C41*C42)*100,"0.1")&amp;"% of C2·ωR). To verify RFC coeff: set C54=1E+06, re-check C91 vs Sokal Eq.9, then restore C54."),"—")</f>
        <v>ℹ INDEPENDENT RFC-COEFF CHECK (QL from C19): C2_base=(1/(QL-0.1048))*(1.00121+1.01468/(QL-1.7879))=000.000 | RFC correction on C2: −0.2/(ω²·RFC)=000.000 (contributes 0% of C2·ωR). To verify RFC coeff: set C54=1E+06, re-check C91 vs Sokal Eq.9, then restore C54.</v>
      </c>
      <c r="I91" s="8"/>
      <c r="J91" s="10" t="n">
        <f aca="false">IF(ISNUMBER(C19),IF(C19&gt;0,0.576801*(1.0000086-0.414395/C19-0.577501/C19^2+0.205967/C19^3),0),0)</f>
        <v>0.516627560010096</v>
      </c>
      <c r="K91" s="8"/>
    </row>
    <row r="92" customFormat="false" ht="82.55" hidden="false" customHeight="false" outlineLevel="0" collapsed="false">
      <c r="A92" s="6"/>
      <c r="B92" s="7" t="s">
        <v>131</v>
      </c>
      <c r="C92" s="7" t="n">
        <v>999</v>
      </c>
      <c r="D92" s="6" t="s">
        <v>127</v>
      </c>
      <c r="E92" s="8" t="str">
        <f aca="false">IF(C92&gt;=999,"ℹ Enter actual θ_JA (°C/W) to see thermally-derated η below (I86).","✅ θ_JA set")</f>
        <v>ℹ Enter actual θ_JA (°C/W) to see thermally-derated η below (I86).</v>
      </c>
      <c r="F92" s="33" t="s">
        <v>132</v>
      </c>
      <c r="G92" s="9"/>
      <c r="H92" s="8"/>
      <c r="I92" s="8"/>
      <c r="J92" s="10" t="n">
        <f aca="false">IF(NOT(ISNUMBER(J88)),IF(AND(ISNUMBER(C21),C21&gt;0),C21,0.8),IF(J90&gt;=C42,"🚨 η&lt;0: Rds losses exceed R — device unsuitable at this operating point",MAX(MIN(C42/(C42+J90),0.99),0.01)))</f>
        <v>0.824202152023751</v>
      </c>
      <c r="K92" s="8"/>
    </row>
    <row r="93" customFormat="false" ht="28.85" hidden="false" customHeight="false" outlineLevel="0" collapsed="false">
      <c r="A93" s="6"/>
      <c r="B93" s="7"/>
      <c r="C93" s="7"/>
      <c r="D93" s="6"/>
      <c r="E93" s="8"/>
      <c r="F93" s="8"/>
      <c r="G93" s="33" t="str">
        <f aca="false">IF(J93&gt;0.15,"🚨 SWITCHING LOSS MODEL INVALID: t_f/T="&amp;TEXT(J93,"0.00")&amp;"&gt; 15%. Sokal alpha formula breaks down. Use LTspice for actual eta. Consider a faster MOSFET (fT &gt;"&amp;TEXT(25*C18,"0")&amp;"MHz).",IF(J93&gt;0.08,"⚠ t_f/T="&amp;TEXT(J93,"0.00")&amp;"&gt; 8% — switching loss model marginal. Verify with LTspice.",IF(J93&gt;0,"ℹ t_f/T="&amp;TEXT(J93,"0.000")&amp;" — switching loss model valid (&lt;&lt; 1).","")))</f>
        <v>⚠ t_f/T=0,12&gt; 8% — switching loss model marginal. Verify with LTspice.</v>
      </c>
      <c r="H93" s="17"/>
      <c r="I93" s="8"/>
      <c r="J93" s="10" t="n">
        <f aca="false">IF(C34&gt;0,C18*1000000*(C34/1000000000),IF(J89&gt;0,2.5*C18/J89,0))</f>
        <v>0.116666666666667</v>
      </c>
      <c r="K93" s="8"/>
    </row>
    <row r="94" customFormat="false" ht="15" hidden="false" customHeight="false" outlineLevel="0" collapsed="false">
      <c r="A94" s="6"/>
      <c r="B94" s="7"/>
      <c r="C94" s="7"/>
      <c r="D94" s="6"/>
      <c r="E94" s="8"/>
      <c r="F94" s="8"/>
      <c r="G94" s="8"/>
      <c r="H94" s="17"/>
      <c r="I94" s="8"/>
      <c r="J94" s="10"/>
      <c r="K94" s="8"/>
    </row>
    <row r="95" customFormat="false" ht="16.4" hidden="false" customHeight="false" outlineLevel="0" collapsed="false">
      <c r="A95" s="6"/>
      <c r="B95" s="36" t="s">
        <v>133</v>
      </c>
      <c r="C95" s="7"/>
      <c r="D95" s="6"/>
      <c r="E95" s="8"/>
      <c r="F95" s="9"/>
      <c r="G95" s="9"/>
      <c r="H95" s="33" t="str">
        <f aca="false">IF(C20&gt;0, "⚠ RFC/Coss LOSS BIAS (FIXED): J96 now uses P_in=(Vcc−ΔV)×I_dc for denominator (not Veff=(Vcc−ΔV−Vo)×I_dc). This correctly computes the RFC and Coss loss fractions for BJT (Vo&gt;0). MOSFET (Vo=0): Veff=Vcc−ΔV, no change.", "✅ MOSFET: Veff=Vcc (Vo=0), no bias")</f>
        <v>✅ MOSFET: Veff=Vcc (Vo=0), no bias</v>
      </c>
      <c r="I95" s="33" t="str">
        <f aca="false">IF(C20&gt;0,"ℹ J96 CORRECTED: uses (Vcc−ΔV)×I_dc (not Veff×I_dc) for P_in denominator. Ratio=(Vcc-ΔV)/Veff=1 for MOSFET (Vo=0), exact. For BJT (Vo&gt;0): ratio="&amp;TEXT((C16-C35)/C44,"0.000")&amp;" — RFC/Coss loss fractions now correct.","✅ MOSFET: exact (Vo=0)")</f>
        <v>✅ MOSFET: exact (Vo=0)</v>
      </c>
      <c r="J95" s="10" t="n">
        <f aca="false">0.5*(C32*0.000000000001*C36)*(MAX(C83,3.562*(C16-C20)+C20)-C20)^2*(C18*1000000)*I36</f>
        <v>0.004263115584</v>
      </c>
      <c r="K95" s="8"/>
    </row>
    <row r="96" customFormat="false" ht="15" hidden="false" customHeight="false" outlineLevel="0" collapsed="false">
      <c r="A96" s="6"/>
      <c r="B96" s="42" t="s">
        <v>8</v>
      </c>
      <c r="C96" s="42" t="s">
        <v>9</v>
      </c>
      <c r="D96" s="43" t="s">
        <v>10</v>
      </c>
      <c r="E96" s="29" t="s">
        <v>60</v>
      </c>
      <c r="F96" s="30" t="s">
        <v>48</v>
      </c>
      <c r="G96" s="30"/>
      <c r="H96" s="29"/>
      <c r="I96" s="29"/>
      <c r="J96" s="10" t="n">
        <f aca="false">IF(ISNUMBER(J92),MIN(J92-(PI()*(1+0.82/C19)*J93)^2/3-J95/MAX((C16-C35)*C43,0.001)-C23*C43/MAX(C16-C35,0.001),0.99),J92)</f>
        <v>0.753381574035562</v>
      </c>
      <c r="K96" s="17"/>
      <c r="L96" s="5"/>
    </row>
    <row r="97" customFormat="false" ht="96" hidden="false" customHeight="false" outlineLevel="0" collapsed="false">
      <c r="A97" s="6"/>
      <c r="B97" s="7" t="s">
        <v>134</v>
      </c>
      <c r="C97" s="44" t="n">
        <f aca="false">1.4*C18</f>
        <v>19.6</v>
      </c>
      <c r="D97" s="45" t="s">
        <v>16</v>
      </c>
      <c r="E97" s="8"/>
      <c r="F97" s="33" t="s">
        <v>135</v>
      </c>
      <c r="G97" s="33" t="str">
        <f aca="false">IF(C110&gt;=-43,"⚠ 5-pole LPF at fc=1.40×f: "&amp;TEXT(ABS(C110),"0.1")&amp;" dBc at 2f."&amp;" Does NOT meet FCC −43 dBc standalone. Total system: LPF+L2-C2 ≈ "&amp;TEXT(ABS(C110)+20,"0.1")&amp;" dBc at QL=5."&amp;" For standalone compliance use 7-pole LPF sheet or lower fc. Verify with LTspice.","✅ 5-pole at 2f: "&amp;TEXT(ABS(C110),"0.1")&amp;" dBc — standalone filter exceeds −43 dBc")</f>
        <v>⚠ 5-pole LPF at fc=1.40×f: 0 dBc at 2f. Does NOT meet FCC −43 dBc standalone. Total system: LPF+L2-C2 ≈ 0 dBc at QL=5. For standalone compliance use 7-pole LPF sheet or lower fc. Verify with LTspice.</v>
      </c>
      <c r="H97" s="8"/>
      <c r="I97" s="8"/>
      <c r="J97" s="10" t="n">
        <f aca="false">C17</f>
        <v>0.4</v>
      </c>
      <c r="K97" s="8"/>
    </row>
    <row r="98" customFormat="false" ht="15" hidden="false" customHeight="false" outlineLevel="0" collapsed="false">
      <c r="A98" s="6"/>
      <c r="B98" s="7" t="s">
        <v>136</v>
      </c>
      <c r="C98" s="44" t="n">
        <f aca="false">2*PI()*C97*1000000</f>
        <v>123150432.02072</v>
      </c>
      <c r="D98" s="45" t="s">
        <v>50</v>
      </c>
      <c r="E98" s="8"/>
      <c r="F98" s="8"/>
      <c r="G98" s="9"/>
      <c r="H98" s="8"/>
      <c r="I98" s="8"/>
      <c r="J98" s="10" t="n">
        <f aca="false">(PI()*(1+0.82/C19)*J93)^2/3*((C16-C35)*C43)</f>
        <v>0.0322123958748362</v>
      </c>
      <c r="K98" s="8"/>
    </row>
    <row r="99" customFormat="false" ht="28.85" hidden="false" customHeight="false" outlineLevel="0" collapsed="false">
      <c r="A99" s="6"/>
      <c r="B99" s="7" t="s">
        <v>137</v>
      </c>
      <c r="C99" s="44" t="n">
        <f aca="false">C25</f>
        <v>50</v>
      </c>
      <c r="D99" s="45" t="s">
        <v>22</v>
      </c>
      <c r="E99" s="8"/>
      <c r="F99" s="33" t="s">
        <v>138</v>
      </c>
      <c r="G99" s="9"/>
      <c r="H99" s="33" t="str">
        <f aca="false">IF(ISNUMBER(J99),IF(J99&gt;C89,"⚠ THERMAL NOTE: J98 ("&amp;TEXT(J99,"0.000")&amp;" W) &gt; total P_diss (C89="&amp;TEXT(C89,"0.000")&amp;" W). This can occur because MOSFET conduction/switching losses differ from non-MOSFET losses. C90 is capped at MIN(J98,C89). J98 correctly uses Pout/J92 (resistive-only eta) for the 1.365×Rds/R Sokal term.","✅ J98≤C89: MOSFET thermal model self-consistent."),"—")</f>
        <v>✅ J98≤C89: MOSFET thermal model self-consistent.</v>
      </c>
      <c r="I99" s="8"/>
      <c r="J99" s="10" t="n">
        <f aca="false">IF(ISNUMBER(J88),C43^2*1.365*J88+J98+J95,J98+J95)</f>
        <v>0.113433310995081</v>
      </c>
      <c r="K99" s="8"/>
    </row>
    <row r="100" customFormat="false" ht="136.3" hidden="false" customHeight="false" outlineLevel="0" collapsed="false">
      <c r="A100" s="6"/>
      <c r="B100" s="7" t="s">
        <v>139</v>
      </c>
      <c r="C100" s="44" t="n">
        <f aca="false">IFERROR(1.1468*C99/C98,0)</f>
        <v>4.65609410045371E-007</v>
      </c>
      <c r="D100" s="45" t="s">
        <v>67</v>
      </c>
      <c r="E100" s="8" t="str">
        <f aca="false">IF(C110+15&lt;-50,"✅ Worst-case likely meets −50 dBc IARU (theoretical: "&amp;TEXT(ABS(C110),"0.0")&amp;" dBc; worst-case: "&amp;TEXT(ABS(C110+15),"0.0")&amp;" dBc). Verify with spectrum analyser.",IF(C110+15&lt;-43,"⚠ Worst-case likely meets FCC −43 dBc only (theoretical: "&amp;TEXT(ABS(C110),"0.0")&amp;" dBc; worst-case: "&amp;TEXT(ABS(C110+15),"0.0")&amp;" dBc). Add filter margin for IARU −50 dBc. Verify with spectrum analyser.","🚨 Worst-case may FAIL FCC −43 dBc (theoretical: "&amp;TEXT(ABS(C110),"0.0")&amp;" dBc; worst-case: "&amp;TEXT(ABS(C110+15),"0.0")&amp;" dBc) — add filter poles or reduce fc. Verify with spectrum analyser."))</f>
        <v>🚨 Worst-case may FAIL FCC −43 dBc (theoretical: 17 dBc; worst-case: 02 dBc) — add filter poles or reduce fc. Verify with spectrum analyser.</v>
      </c>
      <c r="F100" s="33" t="s">
        <v>140</v>
      </c>
      <c r="G100" s="9"/>
      <c r="H100" s="8"/>
      <c r="I100" s="8"/>
      <c r="J100" s="10" t="n">
        <f aca="false">C29+J99*C92</f>
        <v>138.319877684086</v>
      </c>
      <c r="K100" s="8"/>
    </row>
    <row r="101" customFormat="false" ht="15" hidden="false" customHeight="false" outlineLevel="0" collapsed="false">
      <c r="A101" s="6"/>
      <c r="B101" s="7" t="s">
        <v>141</v>
      </c>
      <c r="C101" s="44" t="n">
        <f aca="false">C100*1000000</f>
        <v>0.465609410045371</v>
      </c>
      <c r="D101" s="45" t="s">
        <v>70</v>
      </c>
      <c r="E101" s="8" t="str">
        <f aca="false">IFERROR(IF(ISNUMBER(C101),TEXT(10^INT(LOG10(ABS(C101)+1E-030))*CHOOSE(MATCH(C101/10^INT(LOG10(ABS(C101)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"&amp;D101,C101),"—")</f>
        <v>0 µH</v>
      </c>
      <c r="F101" s="8"/>
      <c r="G101" s="9"/>
      <c r="H101" s="8"/>
      <c r="I101" s="8"/>
      <c r="J101" s="10" t="n">
        <f aca="false">IFERROR(INDEX('MOSFET Reference Table'!$Q:$Q,MATCH(B9,'MOSFET Reference Table'!$A:$A,0)),2.3)</f>
        <v>2.5</v>
      </c>
      <c r="K101" s="8"/>
    </row>
    <row r="102" customFormat="false" ht="15" hidden="false" customHeight="false" outlineLevel="0" collapsed="false">
      <c r="A102" s="6"/>
      <c r="B102" s="7" t="s">
        <v>142</v>
      </c>
      <c r="C102" s="44" t="n">
        <f aca="false">1.3712/(C99*C98)</f>
        <v>2.2268699792613E-010</v>
      </c>
      <c r="D102" s="45" t="s">
        <v>62</v>
      </c>
      <c r="E102" s="8"/>
      <c r="F102" s="33" t="s">
        <v>143</v>
      </c>
      <c r="G102" s="9"/>
      <c r="H102" s="8"/>
      <c r="I102" s="8"/>
      <c r="J102" s="10" t="n">
        <f aca="false">IF(ISNUMBER(J88),J88*((J100+273)/298)^J101,0)</f>
        <v>11.1912497836897</v>
      </c>
      <c r="K102" s="8"/>
    </row>
    <row r="103" customFormat="false" ht="15" hidden="false" customHeight="false" outlineLevel="0" collapsed="false">
      <c r="A103" s="6"/>
      <c r="B103" s="7" t="s">
        <v>144</v>
      </c>
      <c r="C103" s="44" t="n">
        <f aca="false">C102*1000000000000</f>
        <v>222.68699792613</v>
      </c>
      <c r="D103" s="45" t="s">
        <v>30</v>
      </c>
      <c r="E103" s="8" t="str">
        <f aca="false">IFERROR(IF(ISNUMBER(C103),TEXT(10^INT(LOG10(ABS(C103)+1E-030))*CHOOSE(MATCH(C103/10^INT(LOG10(ABS(C103)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"&amp;D103,C103),"—")</f>
        <v>220 pF</v>
      </c>
      <c r="F103" s="8"/>
      <c r="G103" s="9"/>
      <c r="H103" s="8"/>
      <c r="I103" s="8"/>
      <c r="J103" s="10" t="n">
        <f aca="false">MAX(MIN(C42/(C42+C22+C30+1.365*J102+0.2116*C31),0.99),0.01)</f>
        <v>0.677954838173855</v>
      </c>
      <c r="K103" s="8"/>
    </row>
    <row r="104" customFormat="false" ht="28.85" hidden="false" customHeight="false" outlineLevel="0" collapsed="false">
      <c r="A104" s="6"/>
      <c r="B104" s="7" t="s">
        <v>145</v>
      </c>
      <c r="C104" s="44" t="n">
        <f aca="false">IFERROR(1.975*C99/C98,0)</f>
        <v>8.01864828077789E-007</v>
      </c>
      <c r="D104" s="45" t="s">
        <v>67</v>
      </c>
      <c r="E104" s="8"/>
      <c r="F104" s="33" t="s">
        <v>146</v>
      </c>
      <c r="G104" s="9"/>
      <c r="H104" s="8"/>
      <c r="I104" s="8"/>
      <c r="J104" s="10" t="n">
        <f aca="false">MAX(MIN(J103-(PI()*(1+0.82/C19)*J93)^2/3*J103-J95/MAX((C16-C35)*C43,0.001)-C23*C43/MAX(C16-C35,0.001),0.99),0.01)</f>
        <v>0.626669796301781</v>
      </c>
      <c r="K104" s="8"/>
    </row>
    <row r="105" customFormat="false" ht="15" hidden="false" customHeight="false" outlineLevel="0" collapsed="false">
      <c r="A105" s="6"/>
      <c r="B105" s="7" t="s">
        <v>147</v>
      </c>
      <c r="C105" s="44" t="n">
        <f aca="false">C104*1000000</f>
        <v>0.801864828077789</v>
      </c>
      <c r="D105" s="45" t="s">
        <v>70</v>
      </c>
      <c r="E105" s="8" t="str">
        <f aca="false">IFERROR(IF(ISNUMBER(C105),TEXT(10^INT(LOG10(ABS(C105)+1E-030))*CHOOSE(MATCH(C105/10^INT(LOG10(ABS(C105)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"&amp;D105,C105),"—")</f>
        <v>01 µH</v>
      </c>
      <c r="F105" s="8"/>
      <c r="G105" s="9"/>
      <c r="H105" s="8"/>
      <c r="I105" s="8"/>
      <c r="J105" s="10" t="n">
        <f aca="false">J100</f>
        <v>138.319877684086</v>
      </c>
      <c r="K105" s="8"/>
    </row>
    <row r="106" customFormat="false" ht="28.85" hidden="false" customHeight="false" outlineLevel="0" collapsed="false">
      <c r="A106" s="6"/>
      <c r="B106" s="6" t="s">
        <v>148</v>
      </c>
      <c r="C106" s="44" t="n">
        <f aca="false">1.3712/(C99*C98)</f>
        <v>2.2268699792613E-010</v>
      </c>
      <c r="D106" s="45" t="s">
        <v>62</v>
      </c>
      <c r="E106" s="8"/>
      <c r="F106" s="33" t="s">
        <v>149</v>
      </c>
      <c r="G106" s="9"/>
      <c r="H106" s="9"/>
      <c r="I106" s="8"/>
      <c r="J106" s="10"/>
      <c r="K106" s="8"/>
    </row>
    <row r="107" customFormat="false" ht="15" hidden="false" customHeight="false" outlineLevel="0" collapsed="false">
      <c r="A107" s="6"/>
      <c r="B107" s="6" t="s">
        <v>150</v>
      </c>
      <c r="C107" s="44" t="n">
        <f aca="false">C106*1000000000000</f>
        <v>222.68699792613</v>
      </c>
      <c r="D107" s="45" t="s">
        <v>30</v>
      </c>
      <c r="E107" s="8" t="str">
        <f aca="false">IFERROR(IF(ISNUMBER(C107),TEXT(10^INT(LOG10(ABS(C107)+1E-030))*CHOOSE(MATCH(C107/10^INT(LOG10(ABS(C107)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"&amp;D107,C107),"—")</f>
        <v>220 pF</v>
      </c>
      <c r="F107" s="8"/>
      <c r="G107" s="9"/>
      <c r="H107" s="9"/>
      <c r="I107" s="8"/>
      <c r="J107" s="10"/>
      <c r="K107" s="8"/>
    </row>
    <row r="108" customFormat="false" ht="96" hidden="false" customHeight="false" outlineLevel="0" collapsed="false">
      <c r="A108" s="6"/>
      <c r="B108" s="6" t="s">
        <v>151</v>
      </c>
      <c r="C108" s="44" t="n">
        <f aca="false">IFERROR(1.1468*C99/C98,0)</f>
        <v>4.65609410045371E-007</v>
      </c>
      <c r="D108" s="45" t="s">
        <v>67</v>
      </c>
      <c r="E108" s="8"/>
      <c r="F108" s="33" t="s">
        <v>152</v>
      </c>
      <c r="G108" s="9"/>
      <c r="H108" s="9"/>
      <c r="I108" s="8"/>
      <c r="J108" s="10"/>
      <c r="K108" s="8"/>
    </row>
    <row r="109" customFormat="false" ht="15" hidden="false" customHeight="false" outlineLevel="0" collapsed="false">
      <c r="A109" s="6"/>
      <c r="B109" s="6" t="s">
        <v>153</v>
      </c>
      <c r="C109" s="44" t="n">
        <f aca="false">C108*1000000</f>
        <v>0.465609410045371</v>
      </c>
      <c r="D109" s="45" t="s">
        <v>70</v>
      </c>
      <c r="E109" s="8" t="str">
        <f aca="false">IFERROR(IF(ISNUMBER(C109),TEXT(10^INT(LOG10(ABS(C109)+1E-030))*CHOOSE(MATCH(C109/10^INT(LOG10(ABS(C109)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"&amp;D109,C109),"—")</f>
        <v>0 µH</v>
      </c>
      <c r="F109" s="8"/>
      <c r="G109" s="9"/>
      <c r="H109" s="9"/>
      <c r="I109" s="8"/>
      <c r="J109" s="10"/>
      <c r="K109" s="8"/>
    </row>
    <row r="110" customFormat="false" ht="69.15" hidden="false" customHeight="false" outlineLevel="0" collapsed="false">
      <c r="A110" s="6"/>
      <c r="B110" s="7" t="s">
        <v>154</v>
      </c>
      <c r="C110" s="44" t="n">
        <f aca="false">-10*LOG10((1+(10^(0.1/10)-1)*(16*(2*C18/C97)^5-20*(2*C18/C97)^3+5*(2*C18/C97))^2)/(1+(10^(0.1/10)-1)*(16*(C18/C97)^5-20*(C18/C97)^3+5*(C18/C97))^2))</f>
        <v>-16.5874077706108</v>
      </c>
      <c r="D110" s="45" t="s">
        <v>155</v>
      </c>
      <c r="E110" s="8" t="str">
        <f aca="false">IF(-10*LOG10((1+(10^(0.1/10)-1)*(4*(2*C18/C97)^3-3*(2*C18/C97))^2)/(1+(10^(0.1/10)-1)*(4*(C18/C97)^3-3*(C18/C97))^2))&lt;=-50,"3 poles min for −50 dBc at 2f",IF(-10*LOG10((1+(10^(0.1/10)-1)*(8*(2*C18/C97)^4-8*(2*C18/C97)^2+1)^2)/(1+(10^(0.1/10)-1)*(8*(C18/C97)^4-8*(C18/C97)^2+1)^2))&lt;=-50,"4 poles min for −50 dBc at 2f",IF(-10*LOG10((1+(10^(0.1/10)-1)*(16*(2*C18/C97)^5-20*(2*C18/C97)^3+5*(2*C18/C97))^2)/(1+(10^(0.1/10)-1)*(16*(C18/C97)^5-20*(C18/C97)^3+5*(C18/C97))^2))&lt;=-50,"5 poles min for −50 dBc at 2f",IF(-10*LOG10((1+(10^(0.1/10)-1)*(32*(2*C18/C97)^6-48*(2*C18/C97)^4+18*(2*C18/C97)^2-1)^2)/(1+(10^(0.1/10)-1)*(32*(C18/C97)^6-48*(C18/C97)^4+18*(C18/C97)^2-1)^2))&lt;=-50,"6 poles min for −50 dBc at 2f",IF(-10*LOG10((1+(10^(0.1/10)-1)*(64*(2*C18/C97)^7-112*(2*C18/C97)^5+56*(2*C18/C97)^3-7*(2*C18/C97))^2)/(1+(10^(0.1/10)-1)*(64*(C18/C97)^7-112*(C18/C97)^5+56*(C18/C97)^3-7*(C18/C97))^2))&lt;=-50,"7 poles min for −50 dBc at 2f",IF(-10*LOG10((1+(10^(0.1/10)-1)*(128*(2*C18/C97)^8-256*(2*C18/C97)^6+160*(2*C18/C97)^4-32*(2*C18/C97)^2+1)^2)/(1+(10^(0.1/10)-1)*(128*(C18/C97)^8-256*(C18/C97)^6+160*(C18/C97)^4-32*(C18/C97)^2+1)^2))&lt;=-50,"8 poles min for −50 dBc at 2f","9+ poles required for −50 dBc at 2f"))))))</f>
        <v>9+ poles required for −50 dBc at 2f</v>
      </c>
      <c r="F110" s="33" t="str">
        <f aca="false">IF(C110&lt;-50,"✅ "&amp;TEXT(ABS(C110),"0.0")&amp;" dBc at 2f — meets IARU recommendation (−50 dBc) and FCC §97.307 (−43 dBc). ⚠ 50Ω SOURCE ASSUMPTION: These attenuation figures are valid only when the LPF is driven from a 50Ω resistive source. The Class-E drain impedance is not 50Ω (typically R_opt = 5–20Ω + reactive). Even with an L-network in place, residual source reactance can shift 2nd-harmonic attenuation by ±10–20 dB from the calculated figure. For regulatory compliance (IARU −50 dBc / FCC §97.307 −43 dBc), always verify via LTspice simulation with the actual drain impedance as source, or measure directly with a spectrum analyser. Treat these values as a first-order design guide only.","⚠ "&amp;TEXT(ABS(C110),"0.0")&amp;" dBc at 2f — insufficient for IARU (−50 dBc required). Increase filter order or lower fc.")</f>
        <v>⚠ 17 dBc at 2f — insufficient for IARU (−50 dBc required). Increase filter order or lower fc.</v>
      </c>
      <c r="G110" s="9"/>
      <c r="H110" s="33" t="str">
        <f aca="false">IF(ISNUMBER(C110),"⚠ THEORETICAL VALUE — assumes 50Ω source. Actual rejection may be 10–20 dB lower. Worst-case estimate: "&amp;TEXT(C110+15,"0.0")&amp;" dBc. "&amp;IF(C110+15&gt;-50,"🚨 Worst-case may not meet −50 dBc IARU. Verify with spectrum analyser before regulatory submission.",IF(C110+15&gt;-43,"⚠ Worst-case margin over FCC −43 dBc is limited. Measure before submission.","✅ Even worst-case estimate meets −43 dBc FCC. Verify with spectrum analyser.")),"—")</f>
        <v>⚠ THEORETICAL VALUE — assumes 50Ω source. Actual rejection may be 10–20 dB lower. Worst-case estimate: -02 dBc. 🚨 Worst-case may not meet −50 dBc IARU. Verify with spectrum analyser before regulatory submission.</v>
      </c>
      <c r="I110" s="8"/>
      <c r="J110" s="10"/>
      <c r="K110" s="8"/>
    </row>
    <row r="111" customFormat="false" ht="42.25" hidden="false" customHeight="false" outlineLevel="0" collapsed="false">
      <c r="A111" s="6"/>
      <c r="B111" s="7" t="s">
        <v>156</v>
      </c>
      <c r="C111" s="44" t="n">
        <f aca="false">-10*LOG10((1+(10^(0.1/10)-1)*(16*(3*C18/C97)^5-20*(3*C18/C97)^3+5*(3*C18/C97))^2)/(1+(10^(0.1/10)-1)*(16*(C18/C97)^5-20*(C18/C97)^3+5*(C18/C97))^2))</f>
        <v>-38.2143276045362</v>
      </c>
      <c r="D111" s="45" t="s">
        <v>155</v>
      </c>
      <c r="E111" s="8" t="str">
        <f aca="false">IF(-10*LOG10((1+(10^(0.1/10)-1)*(4*(3*C18/C97)^3-3*(3*C18/C97))^2)/(1+(10^(0.1/10)-1)*(4*(C18/C97)^3-3*(C18/C97))^2))&lt;=-50,"3 poles min for −50 dBc at 3f",IF(-10*LOG10((1+(10^(0.1/10)-1)*(8*(3*C18/C97)^4-8*(3*C18/C97)^2+1)^2)/(1+(10^(0.1/10)-1)*(8*(C18/C97)^4-8*(C18/C97)^2+1)^2))&lt;=-50,"4 poles min for −50 dBc at 3f",IF(-10*LOG10((1+(10^(0.1/10)-1)*(16*(3*C18/C97)^5-20*(3*C18/C97)^3+5*(3*C18/C97))^2)/(1+(10^(0.1/10)-1)*(16*(C18/C97)^5-20*(C18/C97)^3+5*(C18/C97))^2))&lt;=-50,"5 poles min for −50 dBc at 3f",IF(-10*LOG10((1+(10^(0.1/10)-1)*(32*(3*C18/C97)^6-48*(3*C18/C97)^4+18*(3*C18/C97)^2-1)^2)/(1+(10^(0.1/10)-1)*(32*(C18/C97)^6-48*(C18/C97)^4+18*(C18/C97)^2-1)^2))&lt;=-50,"6 poles min for −50 dBc at 3f",IF(-10*LOG10((1+(10^(0.1/10)-1)*(64*(3*C18/C97)^7-112*(3*C18/C97)^5+56*(3*C18/C97)^3-7*(3*C18/C97))^2)/(1+(10^(0.1/10)-1)*(64*(C18/C97)^7-112*(C18/C97)^5+56*(C18/C97)^3-7*(C18/C97))^2))&lt;=-50,"7 poles min for −50 dBc at 3f",IF(-10*LOG10((1+(10^(0.1/10)-1)*(128*(3*C18/C97)^8-256*(3*C18/C97)^6+160*(3*C18/C97)^4-32*(3*C18/C97)^2+1)^2)/(1+(10^(0.1/10)-1)*(128*(C18/C97)^8-256*(C18/C97)^6+160*(C18/C97)^4-32*(C18/C97)^2+1)^2))&lt;=-50,"8 poles min for −50 dBc at 3f","9+ poles required for −50 dBc at 3f"))))))</f>
        <v>6 poles min for −50 dBc at 3f</v>
      </c>
      <c r="F111" s="33" t="str">
        <f aca="false">IF(C111&lt;-50,"✅ "&amp;TEXT(ABS(C111),"0.0")&amp;" dBc at 3f — meets IARU recommendation (−50 dBc) and FCC §97.307. ⚠ 50Ω SOURCE ASSUMPTION: Actual 3f attenuation may differ by ±10–20 dB when source impedance ≠ 50Ω. Verify with LTspice or spectrum analyser.","⚠ "&amp;TEXT(ABS(C111),"0.0")&amp;" dBc at 3f — add filter poles. ⚠ 50Ω SOURCE ASSUMPTION: Actual attenuation differs when Class-E drain impedance is the source. Verify with LTspice or spectrum analyser before regulatory submission.")</f>
        <v>⚠ 38 dBc at 3f — add filter poles. ⚠ 50Ω SOURCE ASSUMPTION: Actual attenuation differs when Class-E drain impedance is the source. Verify with LTspice or spectrum analyser before regulatory submission.</v>
      </c>
      <c r="G111" s="9"/>
      <c r="H111" s="8"/>
      <c r="I111" s="8"/>
      <c r="J111" s="10"/>
      <c r="K111" s="8"/>
    </row>
    <row r="112" customFormat="false" ht="96" hidden="false" customHeight="false" outlineLevel="0" collapsed="false">
      <c r="A112" s="6"/>
      <c r="B112" s="7" t="s">
        <v>157</v>
      </c>
      <c r="C112" s="44"/>
      <c r="D112" s="6"/>
      <c r="E112" s="8"/>
      <c r="F112" s="33" t="str">
        <f aca="false">IF(C65&lt;0.01,IF(ABS(C42-C99)/MAX(C99,0.001)&lt;0.05,"✅ R_opt≈Z_load≈"&amp;TEXT(C99,"0")&amp;"Ω — no L-network needed and LPF is VALID (source = R_opt = Z0 = "&amp;TEXT(ROUND(C99,0),"0")&amp;"Ω). No impedance mismatch.","🚨 LPF SOURCE MISMATCH: No L-network and R_drain ("&amp;TEXT(C42,"0.0")&amp;"Ω) ≠ "&amp;TEXT(C99,"0")&amp;"Ω LPF reference. LPF attenuation values INVALID for this source impedance. Use LPF Direct sheets for direct-drain connection, or add L-network."),"✅ L-network active (Q_match="&amp;TEXT(C65,"0.00")&amp;"×) — LPF source ≈ "&amp;TEXT(C99,"0")&amp;"Ω. Attenuation formulas assume ideal "&amp;TEXT(C99,"0")&amp;"Ω resistive source. Actual drain impedance after L-network retains residual reactance — actual harmonic rejection may differ by ±2–6 dB from calculated values. Conservative budget: subtract 3 dB from displayed figures. For regulatory compliance (IARU −50 dBc / FCC §97.307 −43 dBc), verify with LTspice using actual R_opt+jX drain impedance as source.")</f>
        <v>✅ L-network active (Q_match=0,74×) — LPF source ≈ 50Ω. Attenuation formulas assume ideal 50Ω resistive source. Actual drain impedance after L-network retains residual reactance — actual harmonic rejection may differ by ±2–6 dB from calculated values. Conservative budget: subtract 3 dB from displayed figures. For regulatory compliance (IARU −50 dBc / FCC §97.307 −43 dBc), verify with LTspice using actual R_opt+jX drain impedance as source.</v>
      </c>
      <c r="G112" s="9"/>
      <c r="H112" s="8"/>
      <c r="I112" s="8"/>
      <c r="J112" s="10"/>
      <c r="K112" s="8"/>
    </row>
    <row r="113" customFormat="false" ht="15" hidden="false" customHeight="false" outlineLevel="0" collapsed="false">
      <c r="A113" s="6"/>
      <c r="B113" s="6"/>
      <c r="C113" s="7"/>
      <c r="D113" s="6"/>
      <c r="E113" s="8"/>
      <c r="F113" s="9"/>
      <c r="G113" s="9"/>
      <c r="H113" s="8"/>
      <c r="I113" s="8"/>
      <c r="J113" s="10"/>
      <c r="K113" s="8"/>
    </row>
    <row r="114" customFormat="false" ht="15" hidden="false" customHeight="false" outlineLevel="0" collapsed="false">
      <c r="A114" s="6"/>
      <c r="B114" s="46" t="s">
        <v>158</v>
      </c>
      <c r="C114" s="7"/>
      <c r="D114" s="6"/>
      <c r="E114" s="8"/>
      <c r="F114" s="9"/>
      <c r="G114" s="9"/>
      <c r="H114" s="8"/>
      <c r="I114" s="8"/>
      <c r="J114" s="10"/>
      <c r="K114" s="8"/>
    </row>
    <row r="115" customFormat="false" ht="28.85" hidden="false" customHeight="false" outlineLevel="0" collapsed="false">
      <c r="A115" s="6"/>
      <c r="B115" s="47" t="s">
        <v>159</v>
      </c>
      <c r="C115" s="8"/>
      <c r="D115" s="9"/>
      <c r="E115" s="8"/>
      <c r="F115" s="9"/>
      <c r="G115" s="9"/>
      <c r="H115" s="8"/>
      <c r="I115" s="8"/>
      <c r="J115" s="10"/>
      <c r="K115" s="8"/>
    </row>
    <row r="116" customFormat="false" ht="28.85" hidden="false" customHeight="false" outlineLevel="0" collapsed="false">
      <c r="A116" s="6"/>
      <c r="B116" s="47" t="s">
        <v>160</v>
      </c>
      <c r="C116" s="8"/>
      <c r="D116" s="9"/>
      <c r="E116" s="8"/>
      <c r="F116" s="9"/>
      <c r="G116" s="9"/>
      <c r="H116" s="8"/>
      <c r="I116" s="8"/>
      <c r="J116" s="10"/>
      <c r="K116" s="8"/>
    </row>
    <row r="117" customFormat="false" ht="28.85" hidden="false" customHeight="false" outlineLevel="0" collapsed="false">
      <c r="A117" s="6"/>
      <c r="B117" s="47" t="s">
        <v>161</v>
      </c>
      <c r="C117" s="8"/>
      <c r="D117" s="9"/>
      <c r="E117" s="8"/>
      <c r="F117" s="9"/>
      <c r="G117" s="9"/>
      <c r="H117" s="8"/>
      <c r="I117" s="8"/>
      <c r="J117" s="10"/>
      <c r="K117" s="8"/>
    </row>
    <row r="118" customFormat="false" ht="28.85" hidden="false" customHeight="false" outlineLevel="0" collapsed="false">
      <c r="A118" s="6"/>
      <c r="B118" s="47" t="s">
        <v>162</v>
      </c>
      <c r="C118" s="8"/>
      <c r="D118" s="9"/>
      <c r="E118" s="8"/>
      <c r="F118" s="9"/>
      <c r="G118" s="9"/>
      <c r="H118" s="8"/>
      <c r="I118" s="8"/>
      <c r="J118" s="10"/>
      <c r="K118" s="8"/>
    </row>
    <row r="119" customFormat="false" ht="28.85" hidden="false" customHeight="false" outlineLevel="0" collapsed="false">
      <c r="A119" s="6"/>
      <c r="B119" s="47" t="s">
        <v>163</v>
      </c>
      <c r="C119" s="8"/>
      <c r="D119" s="9"/>
      <c r="E119" s="8"/>
      <c r="F119" s="9"/>
      <c r="G119" s="9"/>
      <c r="H119" s="8"/>
      <c r="I119" s="8"/>
      <c r="J119" s="10"/>
      <c r="K119" s="8"/>
    </row>
    <row r="120" customFormat="false" ht="28.85" hidden="false" customHeight="false" outlineLevel="0" collapsed="false">
      <c r="A120" s="6"/>
      <c r="B120" s="47" t="s">
        <v>164</v>
      </c>
      <c r="C120" s="8"/>
      <c r="D120" s="9"/>
      <c r="E120" s="8"/>
      <c r="F120" s="9"/>
      <c r="G120" s="9"/>
      <c r="H120" s="8"/>
      <c r="I120" s="8"/>
      <c r="J120" s="10"/>
      <c r="K120" s="8"/>
    </row>
    <row r="121" customFormat="false" ht="15" hidden="false" customHeight="false" outlineLevel="0" collapsed="false">
      <c r="A121" s="6"/>
      <c r="B121" s="47" t="s">
        <v>165</v>
      </c>
      <c r="C121" s="8"/>
      <c r="D121" s="9"/>
      <c r="E121" s="8"/>
      <c r="F121" s="9"/>
      <c r="G121" s="9"/>
      <c r="H121" s="8"/>
      <c r="I121" s="8"/>
      <c r="J121" s="10"/>
      <c r="K121" s="8"/>
    </row>
    <row r="122" customFormat="false" ht="28.85" hidden="false" customHeight="false" outlineLevel="0" collapsed="false">
      <c r="A122" s="6"/>
      <c r="B122" s="47" t="s">
        <v>166</v>
      </c>
      <c r="C122" s="8"/>
      <c r="D122" s="9"/>
      <c r="E122" s="8"/>
      <c r="F122" s="9"/>
      <c r="G122" s="9"/>
      <c r="H122" s="8"/>
      <c r="I122" s="8"/>
      <c r="J122" s="10"/>
      <c r="K122" s="8"/>
    </row>
    <row r="123" customFormat="false" ht="28.85" hidden="false" customHeight="false" outlineLevel="0" collapsed="false">
      <c r="A123" s="6"/>
      <c r="B123" s="47" t="s">
        <v>167</v>
      </c>
      <c r="C123" s="8"/>
      <c r="D123" s="9"/>
      <c r="E123" s="8"/>
      <c r="F123" s="9"/>
      <c r="G123" s="9"/>
      <c r="H123" s="8"/>
      <c r="I123" s="8"/>
      <c r="J123" s="10"/>
      <c r="K123" s="8"/>
    </row>
    <row r="124" customFormat="false" ht="15" hidden="false" customHeight="false" outlineLevel="0" collapsed="false">
      <c r="A124" s="6"/>
      <c r="B124" s="47" t="s">
        <v>168</v>
      </c>
      <c r="C124" s="8"/>
      <c r="D124" s="9"/>
      <c r="E124" s="8"/>
      <c r="F124" s="9"/>
      <c r="G124" s="9"/>
      <c r="H124" s="8"/>
      <c r="I124" s="8"/>
      <c r="J124" s="10"/>
      <c r="K124" s="8"/>
    </row>
    <row r="125" customFormat="false" ht="28.85" hidden="false" customHeight="false" outlineLevel="0" collapsed="false">
      <c r="A125" s="6"/>
      <c r="B125" s="47" t="s">
        <v>169</v>
      </c>
      <c r="C125" s="8"/>
      <c r="D125" s="9"/>
      <c r="E125" s="8"/>
      <c r="F125" s="9"/>
      <c r="G125" s="9"/>
      <c r="H125" s="8"/>
      <c r="I125" s="8"/>
      <c r="J125" s="10"/>
      <c r="K125" s="8"/>
    </row>
    <row r="126" customFormat="false" ht="28.85" hidden="false" customHeight="false" outlineLevel="0" collapsed="false">
      <c r="A126" s="6"/>
      <c r="B126" s="47" t="s">
        <v>170</v>
      </c>
      <c r="C126" s="8"/>
      <c r="D126" s="9"/>
      <c r="E126" s="8"/>
      <c r="F126" s="9"/>
      <c r="G126" s="9"/>
      <c r="H126" s="8"/>
      <c r="I126" s="8"/>
      <c r="J126" s="10"/>
      <c r="K126" s="8"/>
    </row>
    <row r="127" customFormat="false" ht="15" hidden="false" customHeight="false" outlineLevel="0" collapsed="false">
      <c r="A127" s="6"/>
      <c r="B127" s="48"/>
      <c r="C127" s="7"/>
      <c r="D127" s="6"/>
      <c r="E127" s="8"/>
      <c r="F127" s="9"/>
      <c r="G127" s="9"/>
      <c r="H127" s="8"/>
      <c r="I127" s="8"/>
      <c r="J127" s="10"/>
      <c r="K127" s="8"/>
    </row>
    <row r="128" customFormat="false" ht="15" hidden="false" customHeight="false" outlineLevel="0" collapsed="false">
      <c r="B128" s="49"/>
    </row>
    <row r="129" customFormat="false" ht="15" hidden="false" customHeight="false" outlineLevel="0" collapsed="false">
      <c r="B129" s="49"/>
    </row>
    <row r="130" customFormat="false" ht="15" hidden="false" customHeight="false" outlineLevel="0" collapsed="false">
      <c r="B130" s="49"/>
    </row>
    <row r="133" customFormat="false" ht="15" hidden="false" customHeight="false" outlineLevel="0" collapsed="false">
      <c r="B133" s="2"/>
    </row>
  </sheetData>
  <dataValidations count="2">
    <dataValidation allowBlank="true" error="Please select a MOSFET from the list." errorStyle="stop" errorTitle="Invalid Entry" operator="between" showDropDown="false" showErrorMessage="true" showInputMessage="false" sqref="B9" type="list">
      <formula1>'MOSFET Reference Table'!$A$4:$A$19</formula1>
      <formula2>0</formula2>
    </dataValidation>
    <dataValidation allowBlank="false" error="All Sokal Class-E equations are derived for D=50% only. Changing duty cycle requires a completely different equation set (Kazimierczuk &amp; Puczko 1987). Value has been reset." errorStyle="stop" errorTitle="Duty Cycle Locked" operator="equal" prompt="Sokal equations are valid ONLY for 50% duty cycle. Do not change this value." promptTitle="D = 0.5 Required" showDropDown="false" showErrorMessage="true" showInputMessage="true" sqref="C25" type="decimal">
      <formula1>0.5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8" activeCellId="0" sqref="B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0" width="2.55"/>
    <col collapsed="false" customWidth="true" hidden="false" outlineLevel="0" max="2" min="2" style="50" width="81.39"/>
    <col collapsed="false" customWidth="true" hidden="false" outlineLevel="0" max="3" min="3" style="50" width="18.64"/>
    <col collapsed="false" customWidth="true" hidden="false" outlineLevel="0" max="4" min="4" style="51" width="6.39"/>
    <col collapsed="false" customWidth="true" hidden="false" outlineLevel="0" max="5" min="5" style="50" width="11.53"/>
    <col collapsed="false" customWidth="true" hidden="false" outlineLevel="0" max="6" min="6" style="50" width="42.43"/>
    <col collapsed="false" customWidth="true" hidden="false" outlineLevel="0" max="7" min="7" style="50" width="9.57"/>
    <col collapsed="false" customWidth="true" hidden="false" outlineLevel="0" max="8" min="8" style="50" width="42.57"/>
    <col collapsed="false" customWidth="true" hidden="false" outlineLevel="0" max="9" min="9" style="50" width="28.52"/>
    <col collapsed="false" customWidth="true" hidden="false" outlineLevel="0" max="10" min="10" style="52" width="2.55"/>
    <col collapsed="false" customWidth="false" hidden="false" outlineLevel="0" max="16382" min="12" style="50" width="8.68"/>
    <col collapsed="false" customWidth="true" hidden="false" outlineLevel="0" max="16384" min="16383" style="50" width="11.53"/>
  </cols>
  <sheetData>
    <row r="1" customFormat="false" ht="15" hidden="false" customHeight="false" outlineLevel="0" collapsed="false">
      <c r="A1" s="53"/>
      <c r="B1" s="53"/>
      <c r="C1" s="53"/>
      <c r="D1" s="54"/>
      <c r="E1" s="53"/>
      <c r="F1" s="53"/>
      <c r="G1" s="53"/>
      <c r="H1" s="53"/>
      <c r="I1" s="53"/>
      <c r="J1" s="55"/>
    </row>
    <row r="2" customFormat="false" ht="16.4" hidden="false" customHeight="false" outlineLevel="0" collapsed="false">
      <c r="A2" s="53"/>
      <c r="B2" s="36" t="s">
        <v>171</v>
      </c>
      <c r="C2" s="53"/>
      <c r="D2" s="54"/>
      <c r="E2" s="53"/>
      <c r="F2" s="53"/>
      <c r="G2" s="53"/>
      <c r="H2" s="53"/>
      <c r="I2" s="53"/>
      <c r="J2" s="55"/>
    </row>
    <row r="3" customFormat="false" ht="15" hidden="false" customHeight="false" outlineLevel="0" collapsed="false">
      <c r="A3" s="53"/>
      <c r="B3" s="36"/>
      <c r="C3" s="53"/>
      <c r="D3" s="54"/>
      <c r="E3" s="53"/>
      <c r="F3" s="53"/>
      <c r="G3" s="53"/>
      <c r="H3" s="53"/>
      <c r="I3" s="53"/>
      <c r="J3" s="55"/>
    </row>
    <row r="4" customFormat="false" ht="23.85" hidden="false" customHeight="false" outlineLevel="0" collapsed="false">
      <c r="A4" s="53"/>
      <c r="B4" s="56" t="s">
        <v>172</v>
      </c>
      <c r="C4" s="53"/>
      <c r="D4" s="54"/>
      <c r="E4" s="53"/>
      <c r="F4" s="53"/>
      <c r="G4" s="53"/>
      <c r="H4" s="53"/>
      <c r="I4" s="53"/>
      <c r="J4" s="55"/>
    </row>
    <row r="5" customFormat="false" ht="15" hidden="false" customHeight="false" outlineLevel="0" collapsed="false">
      <c r="A5" s="53"/>
      <c r="B5" s="57" t="s">
        <v>2</v>
      </c>
      <c r="C5" s="53"/>
      <c r="D5" s="54"/>
      <c r="E5" s="53"/>
      <c r="F5" s="53"/>
      <c r="G5" s="53"/>
      <c r="H5" s="53"/>
      <c r="I5" s="53"/>
      <c r="J5" s="55"/>
    </row>
    <row r="6" customFormat="false" ht="15" hidden="false" customHeight="false" outlineLevel="0" collapsed="false">
      <c r="A6" s="53"/>
      <c r="B6" s="53"/>
      <c r="C6" s="53"/>
      <c r="D6" s="54"/>
      <c r="E6" s="53"/>
      <c r="F6" s="53"/>
      <c r="G6" s="53"/>
      <c r="H6" s="53"/>
      <c r="I6" s="53"/>
      <c r="J6" s="55"/>
    </row>
    <row r="7" customFormat="false" ht="73.6" hidden="false" customHeight="false" outlineLevel="0" collapsed="false">
      <c r="A7" s="53"/>
      <c r="B7" s="58" t="s">
        <v>173</v>
      </c>
      <c r="C7" s="53"/>
      <c r="D7" s="54"/>
      <c r="E7" s="53"/>
      <c r="F7" s="53"/>
      <c r="G7" s="53"/>
      <c r="H7" s="53"/>
      <c r="I7" s="53"/>
      <c r="J7" s="55"/>
    </row>
    <row r="8" customFormat="false" ht="15" hidden="false" customHeight="false" outlineLevel="0" collapsed="false">
      <c r="A8" s="53"/>
      <c r="B8" s="53"/>
      <c r="C8" s="53"/>
      <c r="D8" s="54"/>
      <c r="E8" s="53"/>
      <c r="F8" s="53"/>
      <c r="G8" s="53"/>
      <c r="H8" s="53"/>
      <c r="I8" s="53"/>
      <c r="J8" s="55"/>
    </row>
    <row r="9" customFormat="false" ht="16.4" hidden="false" customHeight="false" outlineLevel="0" collapsed="false">
      <c r="A9" s="53"/>
      <c r="B9" s="59" t="s">
        <v>174</v>
      </c>
      <c r="C9" s="53"/>
      <c r="D9" s="54"/>
      <c r="E9" s="53"/>
      <c r="F9" s="53"/>
      <c r="G9" s="53"/>
      <c r="H9" s="53"/>
      <c r="I9" s="53"/>
      <c r="J9" s="55"/>
    </row>
    <row r="10" customFormat="false" ht="15" hidden="false" customHeight="false" outlineLevel="0" collapsed="false">
      <c r="A10" s="53"/>
      <c r="B10" s="42" t="s">
        <v>8</v>
      </c>
      <c r="C10" s="60" t="s">
        <v>9</v>
      </c>
      <c r="D10" s="61" t="s">
        <v>10</v>
      </c>
      <c r="E10" s="62"/>
      <c r="F10" s="61" t="s">
        <v>48</v>
      </c>
      <c r="G10" s="62"/>
      <c r="H10" s="62"/>
      <c r="I10" s="62"/>
      <c r="J10" s="55"/>
    </row>
    <row r="11" customFormat="false" ht="28.85" hidden="false" customHeight="false" outlineLevel="0" collapsed="false">
      <c r="A11" s="53"/>
      <c r="B11" s="7" t="s">
        <v>175</v>
      </c>
      <c r="C11" s="63" t="n">
        <f aca="false">'Class-E Calculator'!C18</f>
        <v>14</v>
      </c>
      <c r="D11" s="64" t="s">
        <v>16</v>
      </c>
      <c r="E11" s="53"/>
      <c r="F11" s="65" t="s">
        <v>176</v>
      </c>
      <c r="G11" s="53"/>
      <c r="H11" s="53"/>
      <c r="I11" s="53"/>
      <c r="J11" s="55"/>
    </row>
    <row r="12" customFormat="false" ht="55.7" hidden="false" customHeight="false" outlineLevel="0" collapsed="false">
      <c r="A12" s="53"/>
      <c r="B12" s="7" t="s">
        <v>177</v>
      </c>
      <c r="C12" s="63" t="n">
        <f aca="false">'Class-E Calculator'!C42</f>
        <v>32.289222500631</v>
      </c>
      <c r="D12" s="64" t="s">
        <v>22</v>
      </c>
      <c r="E12" s="53"/>
      <c r="F12" s="65" t="s">
        <v>178</v>
      </c>
      <c r="G12" s="53"/>
      <c r="H12" s="53"/>
      <c r="I12" s="53"/>
      <c r="J12" s="55"/>
    </row>
    <row r="13" customFormat="false" ht="28.85" hidden="false" customHeight="false" outlineLevel="0" collapsed="false">
      <c r="A13" s="53"/>
      <c r="B13" s="7" t="s">
        <v>179</v>
      </c>
      <c r="C13" s="63" t="n">
        <f aca="false">'Class-E Calculator'!C25</f>
        <v>50</v>
      </c>
      <c r="D13" s="64" t="s">
        <v>22</v>
      </c>
      <c r="E13" s="53"/>
      <c r="F13" s="65" t="s">
        <v>180</v>
      </c>
      <c r="G13" s="53"/>
      <c r="H13" s="53"/>
      <c r="I13" s="53"/>
      <c r="J13" s="55"/>
    </row>
    <row r="14" customFormat="false" ht="28.85" hidden="false" customHeight="false" outlineLevel="0" collapsed="false">
      <c r="A14" s="53"/>
      <c r="B14" s="7" t="s">
        <v>181</v>
      </c>
      <c r="C14" s="63" t="n">
        <f aca="false">'Class-E Calculator'!C16</f>
        <v>5</v>
      </c>
      <c r="D14" s="64" t="s">
        <v>12</v>
      </c>
      <c r="E14" s="53"/>
      <c r="F14" s="65" t="s">
        <v>182</v>
      </c>
      <c r="G14" s="53"/>
      <c r="H14" s="53"/>
      <c r="I14" s="53"/>
      <c r="J14" s="55"/>
    </row>
    <row r="15" customFormat="false" ht="15" hidden="false" customHeight="false" outlineLevel="0" collapsed="false">
      <c r="A15" s="53"/>
      <c r="B15" s="7" t="s">
        <v>183</v>
      </c>
      <c r="C15" s="63" t="n">
        <f aca="false">'Class-E Calculator'!C17</f>
        <v>0.4</v>
      </c>
      <c r="D15" s="64" t="s">
        <v>14</v>
      </c>
      <c r="E15" s="53"/>
      <c r="F15" s="65" t="s">
        <v>184</v>
      </c>
      <c r="G15" s="53"/>
      <c r="H15" s="53"/>
      <c r="I15" s="53"/>
      <c r="J15" s="55"/>
    </row>
    <row r="16" customFormat="false" ht="15" hidden="false" customHeight="false" outlineLevel="0" collapsed="false">
      <c r="A16" s="53"/>
      <c r="B16" s="66"/>
      <c r="C16" s="67"/>
      <c r="D16" s="54"/>
      <c r="E16" s="53"/>
      <c r="F16" s="53"/>
      <c r="G16" s="53"/>
      <c r="H16" s="53"/>
      <c r="I16" s="53"/>
      <c r="J16" s="55"/>
    </row>
    <row r="17" customFormat="false" ht="16.4" hidden="false" customHeight="false" outlineLevel="0" collapsed="false">
      <c r="A17" s="53"/>
      <c r="B17" s="36" t="s">
        <v>47</v>
      </c>
      <c r="C17" s="67"/>
      <c r="D17" s="54"/>
      <c r="E17" s="53"/>
      <c r="F17" s="33" t="str">
        <f aca="false">IF('Class-E Calculator'!C25/'Class-E Calculator'!C42&lt;1.5,"✅ Impedance ratio n&lt;1.5 — direct asymmetric LPF is valid.",IF('Class-E Calculator'!C25/'Class-E Calculator'!C42&lt;=3,"⚠ n="&amp;TEXT('Class-E Calculator'!C25/'Class-E Calculator'!C42,"0.0")&amp;" — Valid range, verify with LTspice.","🚨 n="&amp;TEXT('Class-E Calculator'!C25/'Class-E Calculator'!C42,"0.0")&amp;" — Use L-network + 50Ω LPF on main sheet instead."))</f>
        <v>⚠ n=02 — Valid range, verify with LTspice.</v>
      </c>
      <c r="G17" s="53"/>
      <c r="H17" s="53"/>
      <c r="I17" s="53"/>
      <c r="J17" s="55"/>
    </row>
    <row r="18" customFormat="false" ht="15" hidden="false" customHeight="false" outlineLevel="0" collapsed="false">
      <c r="A18" s="53"/>
      <c r="B18" s="42" t="s">
        <v>8</v>
      </c>
      <c r="C18" s="60" t="s">
        <v>9</v>
      </c>
      <c r="D18" s="61" t="s">
        <v>10</v>
      </c>
      <c r="E18" s="61"/>
      <c r="F18" s="61" t="s">
        <v>48</v>
      </c>
      <c r="G18" s="62"/>
      <c r="H18" s="62"/>
      <c r="I18" s="62"/>
      <c r="J18" s="55"/>
    </row>
    <row r="19" customFormat="false" ht="42.25" hidden="false" customHeight="false" outlineLevel="0" collapsed="false">
      <c r="A19" s="53"/>
      <c r="B19" s="7" t="s">
        <v>134</v>
      </c>
      <c r="C19" s="68" t="n">
        <f aca="false">1.4*C11</f>
        <v>19.6</v>
      </c>
      <c r="D19" s="64" t="s">
        <v>16</v>
      </c>
      <c r="E19" s="53"/>
      <c r="F19" s="65" t="s">
        <v>185</v>
      </c>
      <c r="G19" s="53"/>
      <c r="H19" s="53"/>
      <c r="I19" s="53"/>
      <c r="J19" s="55"/>
    </row>
    <row r="20" customFormat="false" ht="15" hidden="false" customHeight="false" outlineLevel="0" collapsed="false">
      <c r="A20" s="53"/>
      <c r="B20" s="7" t="s">
        <v>136</v>
      </c>
      <c r="C20" s="68" t="n">
        <f aca="false">2*PI()*C19*1000000</f>
        <v>123150432.02072</v>
      </c>
      <c r="D20" s="64" t="s">
        <v>50</v>
      </c>
      <c r="E20" s="53"/>
      <c r="F20" s="53"/>
      <c r="G20" s="53"/>
      <c r="H20" s="53"/>
      <c r="I20" s="53"/>
      <c r="J20" s="55"/>
    </row>
    <row r="21" customFormat="false" ht="55.7" hidden="false" customHeight="false" outlineLevel="0" collapsed="false">
      <c r="A21" s="53"/>
      <c r="B21" s="7" t="s">
        <v>186</v>
      </c>
      <c r="C21" s="68" t="n">
        <f aca="false">IF(NOT(ISNUMBER(C12)),"⚠ R_opt invalid — fix QL on main sheet first",C13/C12)</f>
        <v>1.54850430353419</v>
      </c>
      <c r="D21" s="64" t="s">
        <v>18</v>
      </c>
      <c r="E21" s="53"/>
      <c r="F21" s="65" t="s">
        <v>187</v>
      </c>
      <c r="G21" s="53"/>
      <c r="H21" s="53"/>
      <c r="I21" s="53"/>
      <c r="J21" s="55"/>
    </row>
    <row r="22" customFormat="false" ht="82.55" hidden="false" customHeight="false" outlineLevel="0" collapsed="false">
      <c r="A22" s="53"/>
      <c r="B22" s="7" t="s">
        <v>188</v>
      </c>
      <c r="C22" s="69" t="n">
        <f aca="false">IF(NOT(ISNUMBER(C12)),"⚠ R_opt invalid — fix QL on main sheet first",SQRT(C12*C13))</f>
        <v>40.1803574527598</v>
      </c>
      <c r="D22" s="64" t="s">
        <v>22</v>
      </c>
      <c r="E22" s="53"/>
      <c r="F22" s="65" t="s">
        <v>189</v>
      </c>
      <c r="G22" s="53"/>
      <c r="H22" s="53"/>
      <c r="I22" s="53"/>
      <c r="J22" s="55"/>
    </row>
    <row r="23" customFormat="false" ht="136.3" hidden="false" customHeight="false" outlineLevel="0" collapsed="false">
      <c r="A23" s="53"/>
      <c r="B23" s="7" t="s">
        <v>190</v>
      </c>
      <c r="C23" s="70" t="n">
        <f aca="false">MAX(3.562*('Class-E Calculator'!C16-'Class-E Calculator'!C35-'Class-E Calculator'!C20)+'Class-E Calculator'!C20,3.562*('Class-E Calculator'!C16-'Class-E Calculator'!C20)+'Class-E Calculator'!C20)</f>
        <v>17.81</v>
      </c>
      <c r="D23" s="64" t="s">
        <v>12</v>
      </c>
      <c r="E23" s="53"/>
      <c r="F23" s="65" t="s">
        <v>191</v>
      </c>
      <c r="G23" s="53"/>
      <c r="H23" s="53"/>
      <c r="I23" s="53"/>
      <c r="J23" s="55"/>
    </row>
    <row r="24" customFormat="false" ht="42.25" hidden="false" customHeight="false" outlineLevel="0" collapsed="false">
      <c r="A24" s="53"/>
      <c r="B24" s="7" t="s">
        <v>192</v>
      </c>
      <c r="C24" s="69" t="n">
        <f aca="false">SQRT(C15/C13)</f>
        <v>0.0894427190999916</v>
      </c>
      <c r="D24" s="64" t="s">
        <v>55</v>
      </c>
      <c r="E24" s="53"/>
      <c r="F24" s="65" t="s">
        <v>193</v>
      </c>
      <c r="G24" s="53"/>
      <c r="H24" s="53"/>
      <c r="I24" s="53"/>
      <c r="J24" s="55"/>
    </row>
    <row r="25" customFormat="false" ht="15" hidden="false" customHeight="false" outlineLevel="0" collapsed="false">
      <c r="A25" s="53"/>
      <c r="B25" s="66"/>
      <c r="C25" s="67"/>
      <c r="D25" s="54"/>
      <c r="E25" s="53"/>
      <c r="F25" s="53"/>
      <c r="G25" s="53"/>
      <c r="H25" s="53"/>
      <c r="I25" s="53"/>
      <c r="J25" s="55"/>
    </row>
    <row r="26" customFormat="false" ht="30.8" hidden="false" customHeight="false" outlineLevel="0" collapsed="false">
      <c r="A26" s="53"/>
      <c r="B26" s="36" t="s">
        <v>194</v>
      </c>
      <c r="C26" s="67"/>
      <c r="D26" s="54"/>
      <c r="E26" s="53"/>
      <c r="F26" s="55"/>
      <c r="G26" s="53"/>
      <c r="H26" s="53"/>
      <c r="I26" s="53"/>
      <c r="J26" s="55"/>
    </row>
    <row r="27" customFormat="false" ht="15" hidden="false" customHeight="false" outlineLevel="0" collapsed="false">
      <c r="A27" s="53"/>
      <c r="B27" s="42" t="s">
        <v>8</v>
      </c>
      <c r="C27" s="60" t="s">
        <v>9</v>
      </c>
      <c r="D27" s="61" t="s">
        <v>10</v>
      </c>
      <c r="E27" s="61" t="s">
        <v>60</v>
      </c>
      <c r="F27" s="61" t="s">
        <v>48</v>
      </c>
      <c r="G27" s="62"/>
      <c r="H27" s="62"/>
      <c r="I27" s="62"/>
      <c r="J27" s="55"/>
    </row>
    <row r="28" customFormat="false" ht="42.25" hidden="false" customHeight="false" outlineLevel="0" collapsed="false">
      <c r="A28" s="53"/>
      <c r="B28" s="7" t="s">
        <v>195</v>
      </c>
      <c r="C28" s="69" t="n">
        <f aca="false">IF(NOT(ISNUMBER(C12)),"⚠ R_opt invalid — fix QL on main sheet first",IF(ISNUMBER(C21),IF(C21&gt;3,"⚠ n&gt;3: Use L-network + 50Ω LPF",1.1468*C22/C20),"⚠ n invalid"))</f>
        <v>3.74167050579833E-007</v>
      </c>
      <c r="D28" s="64" t="s">
        <v>67</v>
      </c>
      <c r="E28" s="53"/>
      <c r="F28" s="65" t="s">
        <v>196</v>
      </c>
      <c r="G28" s="53"/>
      <c r="H28" s="53"/>
      <c r="I28" s="53"/>
      <c r="J28" s="55"/>
    </row>
    <row r="29" customFormat="false" ht="15" hidden="false" customHeight="false" outlineLevel="0" collapsed="false">
      <c r="A29" s="53"/>
      <c r="B29" s="7" t="s">
        <v>141</v>
      </c>
      <c r="C29" s="69" t="n">
        <f aca="false">IF(ISNUMBER(C28),C28*1000000,C28)</f>
        <v>0.374167050579833</v>
      </c>
      <c r="D29" s="64" t="s">
        <v>70</v>
      </c>
      <c r="E29" s="64" t="str">
        <f aca="false">IFERROR(IF(ISNUMBER(C29),TEXT(10^INT(LOG10(ABS(C29)+1E-030))*CHOOSE(MATCH(C29/10^INT(LOG10(ABS(C29)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"&amp;D29,C29),"—")</f>
        <v>0 µH</v>
      </c>
      <c r="F29" s="53"/>
      <c r="G29" s="53"/>
      <c r="H29" s="53"/>
      <c r="I29" s="53"/>
      <c r="J29" s="55"/>
    </row>
    <row r="30" customFormat="false" ht="55.7" hidden="false" customHeight="false" outlineLevel="0" collapsed="false">
      <c r="A30" s="53"/>
      <c r="B30" s="7" t="s">
        <v>197</v>
      </c>
      <c r="C30" s="69" t="n">
        <f aca="false">IF(NOT(ISNUMBER(C12)),"⚠ R_opt invalid — fix QL on main sheet first",IF(C21&gt;3,"⚠ n&gt;3: Use L-network + 50Ω LPF",1.3712/(C12*C20)))</f>
        <v>3.4483177462972E-010</v>
      </c>
      <c r="D30" s="64" t="s">
        <v>62</v>
      </c>
      <c r="E30" s="53"/>
      <c r="F30" s="65" t="s">
        <v>198</v>
      </c>
      <c r="G30" s="53"/>
      <c r="H30" s="53"/>
      <c r="I30" s="53"/>
      <c r="J30" s="55"/>
    </row>
    <row r="31" customFormat="false" ht="15" hidden="false" customHeight="false" outlineLevel="0" collapsed="false">
      <c r="A31" s="53"/>
      <c r="B31" s="7" t="s">
        <v>144</v>
      </c>
      <c r="C31" s="69" t="n">
        <f aca="false">IF(ISNUMBER(C30),C30*1000000000000,C30)</f>
        <v>344.83177462972</v>
      </c>
      <c r="D31" s="64" t="s">
        <v>30</v>
      </c>
      <c r="E31" s="64" t="str">
        <f aca="false">IFERROR(IF(ISNUMBER(C31),TEXT(10^INT(LOG10(ABS(C31)+1E-030))*CHOOSE(MATCH(C31/10^INT(LOG10(ABS(C31)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"&amp;D31,C31),"—")</f>
        <v>360 pF</v>
      </c>
      <c r="F31" s="53"/>
      <c r="G31" s="53"/>
      <c r="H31" s="53"/>
      <c r="I31" s="53"/>
      <c r="J31" s="55"/>
    </row>
    <row r="32" customFormat="false" ht="28.85" hidden="false" customHeight="false" outlineLevel="0" collapsed="false">
      <c r="A32" s="53"/>
      <c r="B32" s="7" t="s">
        <v>199</v>
      </c>
      <c r="C32" s="69" t="n">
        <f aca="false">IF(NOT(ISNUMBER(C12)),"⚠ R_opt invalid — fix QL on main sheet first",IF(ISNUMBER(C21),IF(C21&gt;3,"⚠ n&gt;3: Use L-network + 50Ω LPF",1.975*C22/C20),"⚠ n invalid"))</f>
        <v>6.44384308419227E-007</v>
      </c>
      <c r="D32" s="64" t="s">
        <v>67</v>
      </c>
      <c r="E32" s="53"/>
      <c r="F32" s="65" t="s">
        <v>200</v>
      </c>
      <c r="G32" s="53"/>
      <c r="H32" s="53"/>
      <c r="I32" s="53"/>
      <c r="J32" s="55"/>
    </row>
    <row r="33" customFormat="false" ht="15" hidden="false" customHeight="false" outlineLevel="0" collapsed="false">
      <c r="A33" s="53"/>
      <c r="B33" s="7" t="s">
        <v>147</v>
      </c>
      <c r="C33" s="69" t="n">
        <f aca="false">IF(ISNUMBER(C32),C32*1000000,C32)</f>
        <v>0.644384308419227</v>
      </c>
      <c r="D33" s="64" t="s">
        <v>70</v>
      </c>
      <c r="E33" s="64" t="str">
        <f aca="false">IFERROR(IF(ISNUMBER(C33),TEXT(10^INT(LOG10(ABS(C33)+1E-030))*CHOOSE(MATCH(C33/10^INT(LOG10(ABS(C33)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"&amp;D33,C33),"—")</f>
        <v>01 µH</v>
      </c>
      <c r="F33" s="53"/>
      <c r="G33" s="53"/>
      <c r="H33" s="53"/>
      <c r="I33" s="53"/>
      <c r="J33" s="55"/>
    </row>
    <row r="34" customFormat="false" ht="55.7" hidden="false" customHeight="false" outlineLevel="0" collapsed="false">
      <c r="A34" s="53"/>
      <c r="B34" s="7" t="s">
        <v>201</v>
      </c>
      <c r="C34" s="69" t="n">
        <f aca="false">IF(NOT(ISNUMBER(C12)),"⚠ R_opt invalid — fix QL on main sheet first",IF(NOT(ISNUMBER(C21)),"⚠ n invalid",IF(C21&gt;3,"⚠ n&gt;3: Use L-network + 50Ω LPF",1.3712/(C13*C20))))</f>
        <v>2.2268699792613E-010</v>
      </c>
      <c r="D34" s="64" t="s">
        <v>62</v>
      </c>
      <c r="E34" s="53"/>
      <c r="F34" s="65" t="s">
        <v>202</v>
      </c>
      <c r="G34" s="53"/>
      <c r="H34" s="53"/>
      <c r="I34" s="53"/>
      <c r="J34" s="55"/>
    </row>
    <row r="35" customFormat="false" ht="15" hidden="false" customHeight="false" outlineLevel="0" collapsed="false">
      <c r="A35" s="53"/>
      <c r="B35" s="7" t="s">
        <v>150</v>
      </c>
      <c r="C35" s="69" t="n">
        <f aca="false">IF(ISNUMBER(C34),C34*1000000000000,C34)</f>
        <v>222.68699792613</v>
      </c>
      <c r="D35" s="64" t="s">
        <v>30</v>
      </c>
      <c r="E35" s="64" t="str">
        <f aca="false">IFERROR(IF(ISNUMBER(C35),TEXT(10^INT(LOG10(ABS(C35)+1E-030))*CHOOSE(MATCH(C35/10^INT(LOG10(ABS(C35)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"&amp;D35,C35),"—")</f>
        <v>220 pF</v>
      </c>
      <c r="F35" s="53"/>
      <c r="G35" s="53"/>
      <c r="H35" s="53"/>
      <c r="I35" s="53"/>
      <c r="J35" s="55"/>
    </row>
    <row r="36" customFormat="false" ht="55.7" hidden="false" customHeight="false" outlineLevel="0" collapsed="false">
      <c r="A36" s="53"/>
      <c r="B36" s="7" t="s">
        <v>203</v>
      </c>
      <c r="C36" s="69" t="n">
        <f aca="false">IF(NOT(ISNUMBER(C12)),"⚠ R_opt invalid — fix QL on main sheet first",IF(ISNUMBER(C21),IF(C21&gt;3,"⚠ n&gt;3: Use L-network + 50Ω LPF",1.1468*C22/C20),"⚠ n invalid"))</f>
        <v>3.74167050579833E-007</v>
      </c>
      <c r="D36" s="64" t="s">
        <v>67</v>
      </c>
      <c r="E36" s="53"/>
      <c r="F36" s="65" t="s">
        <v>204</v>
      </c>
      <c r="G36" s="53"/>
      <c r="H36" s="53"/>
      <c r="I36" s="53"/>
      <c r="J36" s="55"/>
    </row>
    <row r="37" customFormat="false" ht="15" hidden="false" customHeight="false" outlineLevel="0" collapsed="false">
      <c r="A37" s="53"/>
      <c r="B37" s="7" t="s">
        <v>153</v>
      </c>
      <c r="C37" s="69" t="n">
        <f aca="false">IF(ISNUMBER(C36),C36*1000000,C36)</f>
        <v>0.374167050579833</v>
      </c>
      <c r="D37" s="64" t="s">
        <v>70</v>
      </c>
      <c r="E37" s="64" t="str">
        <f aca="false">IFERROR(IF(ISNUMBER(C37),TEXT(10^INT(LOG10(ABS(C37)+1E-030))*CHOOSE(MATCH(C37/10^INT(LOG10(ABS(C37)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"&amp;D37,C37),"—")</f>
        <v>0 µH</v>
      </c>
      <c r="F37" s="53"/>
      <c r="G37" s="53"/>
      <c r="H37" s="53"/>
      <c r="I37" s="53"/>
      <c r="J37" s="55"/>
    </row>
    <row r="38" customFormat="false" ht="15" hidden="false" customHeight="false" outlineLevel="0" collapsed="false">
      <c r="A38" s="53"/>
      <c r="B38" s="66"/>
      <c r="C38" s="67"/>
      <c r="D38" s="54"/>
      <c r="E38" s="53"/>
      <c r="F38" s="53"/>
      <c r="G38" s="53"/>
      <c r="H38" s="53"/>
      <c r="I38" s="53"/>
      <c r="J38" s="55"/>
    </row>
    <row r="39" customFormat="false" ht="16.4" hidden="false" customHeight="false" outlineLevel="0" collapsed="false">
      <c r="A39" s="53"/>
      <c r="B39" s="36" t="s">
        <v>112</v>
      </c>
      <c r="C39" s="67"/>
      <c r="D39" s="54"/>
      <c r="E39" s="53"/>
      <c r="F39" s="53"/>
      <c r="G39" s="53"/>
      <c r="H39" s="53"/>
      <c r="I39" s="53"/>
      <c r="J39" s="55"/>
    </row>
    <row r="40" customFormat="false" ht="15" hidden="false" customHeight="false" outlineLevel="0" collapsed="false">
      <c r="A40" s="53"/>
      <c r="B40" s="42" t="s">
        <v>8</v>
      </c>
      <c r="C40" s="60" t="s">
        <v>9</v>
      </c>
      <c r="D40" s="61" t="s">
        <v>10</v>
      </c>
      <c r="E40" s="61"/>
      <c r="F40" s="61" t="s">
        <v>48</v>
      </c>
      <c r="G40" s="62"/>
      <c r="H40" s="62"/>
      <c r="I40" s="62"/>
      <c r="J40" s="55"/>
    </row>
    <row r="41" customFormat="false" ht="149.75" hidden="false" customHeight="false" outlineLevel="0" collapsed="false">
      <c r="A41" s="53"/>
      <c r="B41" s="7" t="s">
        <v>205</v>
      </c>
      <c r="C41" s="69" t="n">
        <f aca="false">-10*LOG10((1+(10^(0.1/10)-1)*(16*(2*C11/C19)^5-20*(2*C11/C19)^3+5*(2*C11/C19))^2)/(1+(10^(0.1/10)-1)*(16*(C11/C19)^5-20*(C11/C19)^3+5*(C11/C19))^2))</f>
        <v>-16.5874077706108</v>
      </c>
      <c r="D41" s="64" t="s">
        <v>155</v>
      </c>
      <c r="E41" s="64" t="str">
        <f aca="false">IF(C41&lt;-50,"✅ UPPER BOUND ≥−50 dBc (see I41 for worst-case asymmetric estimate)",IF(C41&lt;-43,"⚠ UPPER BOUND ≥−43 dBc (FCC only; see I41)","🚨 Fails FCC −43 dBc even as upper bound (see I41)"))</f>
        <v>🚨 Fails FCC −43 dBc even as upper bound (see I41)</v>
      </c>
      <c r="F41" s="65" t="str">
        <f aca="false">IF(C41&lt;-50,"✅ "&amp;TEXT(ABS(C41),"0.0")&amp;" dBc at 2f — meets IARU −50 dBc and FCC §97.307 −43 dBc.","⚠ "&amp;TEXT(ABS(C41),"0.0")&amp;" dBc at 2f — insufficient for IARU −50 dBc. Increase filter order or lower fc.")</f>
        <v>⚠ 17 dBc at 2f — insufficient for IARU −50 dBc. Increase filter order or lower fc.</v>
      </c>
      <c r="G41" s="53"/>
      <c r="H41" s="33" t="str">
        <f aca="false">IF(ABS(C21-1)&gt;0.05,"⚠ ASYMMETRIC FILTER — n=Z_load/R_opt="&amp;TEXT(C21,"0.00")&amp;"×. The Chebyshev attenuation formula below assumes equal source/load impedances. For asymmetric terminations: (a) passband insertion-loss error ≈"&amp;TEXT(ABS(10*LOG10((1+C21)^2/(4*C21))),"0.1")&amp;" dB; (b) stopband attenuation at 2f/3f can be 10–20 dB LOWER than calculated when n&gt;1.5. These C41/C42 values must be treated as UPPER BOUNDS only. Verify actual stopband depth with LTspice using R_opt as the source impedance.","✅ n≈1: near-symmetric — attenuation estimates reliable (error &lt;1 dB).")</f>
        <v>⚠ ASYMMETRIC FILTER — n=Z_load/R_opt=1,55×. The Chebyshev attenuation formula below assumes equal source/load impedances. For asymmetric terminations: (a) passband insertion-loss error ≈0 dB; (b) stopband attenuation at 2f/3f can be 10–20 dB LOWER than calculated when n&gt;1.5. These C41/C42 values must be treated as UPPER BOUNDS only. Verify actual stopband depth with LTspice using R_opt as the source impedance.</v>
      </c>
      <c r="I41" s="33" t="str">
        <f aca="false">IF(ABS(C21-1)&gt;0.05, "Lower-bound estimate (worst-case asymmetric): "&amp;TEXT(C41+20,"0.0")&amp;" dBc at 2f (assumes up to 20 dB penalty for n="&amp;TEXT(C21,"0.00")&amp;"×). "&amp;IF(C41+20&lt;-50,"✅ Even worst-case meets IARU -50 dBc.",IF(C41+20&lt;-43,"⚠ Worst-case meets FCC -43 dBc only — verify with LTspice.","🚨 Worst-case may fail FCC -43 dBc. Reduce fc or increase poles.")), "— (n≈1, penalty small)")</f>
        <v>Lower-bound estimate (worst-case asymmetric): 03 dBc at 2f (assumes up to 20 dB penalty for n=1,55×). 🚨 Worst-case may fail FCC -43 dBc. Reduce fc or increase poles.</v>
      </c>
      <c r="J41" s="55"/>
    </row>
    <row r="42" customFormat="false" ht="149.75" hidden="false" customHeight="false" outlineLevel="0" collapsed="false">
      <c r="A42" s="53"/>
      <c r="B42" s="7" t="s">
        <v>206</v>
      </c>
      <c r="C42" s="69" t="n">
        <f aca="false">-10*LOG10((1+(10^(0.1/10)-1)*(16*(3*C11/C19)^5-20*(3*C11/C19)^3+5*(3*C11/C19))^2)/(1+(10^(0.1/10)-1)*(16*(C11/C19)^5-20*(C11/C19)^3+5*(C11/C19))^2))</f>
        <v>-38.2143276045362</v>
      </c>
      <c r="D42" s="64" t="s">
        <v>155</v>
      </c>
      <c r="E42" s="64" t="str">
        <f aca="false">IF(C42&lt;-50,"✅ UPPER BOUND ≥−50 dBc at 3f (see I42)",IF(C42&lt;-43,"⚠ UPPER BOUND ≥−43 dBc FCC only (see I42)","🚨 Fails FCC −43 dBc at 3f (upper bound; see I42)"))</f>
        <v>🚨 Fails FCC −43 dBc at 3f (upper bound; see I42)</v>
      </c>
      <c r="F42" s="65" t="str">
        <f aca="false">IF(C42&lt;-50,"✅ "&amp;TEXT(ABS(C42),"0.0")&amp;" dBc at 3f — excellent harmonic rejection.","⚠ "&amp;TEXT(ABS(C42),"0.0")&amp;" dBc at 3f — add filter poles for IARU compliance.")</f>
        <v>⚠ 38 dBc at 3f — add filter poles for IARU compliance.</v>
      </c>
      <c r="G42" s="53"/>
      <c r="H42" s="33" t="str">
        <f aca="false">H41</f>
        <v>⚠ ASYMMETRIC FILTER — n=Z_load/R_opt=1,55×. The Chebyshev attenuation formula below assumes equal source/load impedances. For asymmetric terminations: (a) passband insertion-loss error ≈0 dB; (b) stopband attenuation at 2f/3f can be 10–20 dB LOWER than calculated when n&gt;1.5. These C41/C42 values must be treated as UPPER BOUNDS only. Verify actual stopband depth with LTspice using R_opt as the source impedance.</v>
      </c>
      <c r="I42" s="33" t="str">
        <f aca="false">IF(ABS(C21-1)&gt;0.05, "Lower-bound estimate (worst-case asymmetric): "&amp;TEXT(C42+20,"0.0")&amp;" dBc at 3f.", "—")</f>
        <v>Lower-bound estimate (worst-case asymmetric): -18 dBc at 3f.</v>
      </c>
      <c r="J42" s="55"/>
    </row>
    <row r="43" customFormat="false" ht="69.15" hidden="false" customHeight="false" outlineLevel="0" collapsed="false">
      <c r="A43" s="53"/>
      <c r="B43" s="7" t="s">
        <v>157</v>
      </c>
      <c r="C43" s="71"/>
      <c r="D43" s="54"/>
      <c r="E43" s="53"/>
      <c r="F43" s="65" t="str">
        <f aca="false">IF('Class-E Calculator'!C65&lt;0.1,"⚠ LPF SOURCE: No L-network on main sheet — LPF source IS R_opt. These attenuation values apply directly to this sheet's design.","ℹ L-network active on main sheet (Q="&amp;TEXT('Class-E Calculator'!C65,"0.00")&amp;"×). When using this LPF direct-coupled sheet, connect the LPF directly to the drain WITHOUT the main-sheet L-network. The two approaches are alternatives, not series.")</f>
        <v>ℹ L-network active on main sheet (Q=0,74×). When using this LPF direct-coupled sheet, connect the LPF directly to the drain WITHOUT the main-sheet L-network. The two approaches are alternatives, not series.</v>
      </c>
      <c r="G43" s="53"/>
      <c r="H43" s="53"/>
      <c r="I43" s="53"/>
      <c r="J43" s="55"/>
    </row>
    <row r="44" customFormat="false" ht="15" hidden="false" customHeight="false" outlineLevel="0" collapsed="false">
      <c r="A44" s="53"/>
      <c r="B44" s="53"/>
      <c r="C44" s="53"/>
      <c r="D44" s="54"/>
      <c r="E44" s="53"/>
      <c r="F44" s="53"/>
      <c r="G44" s="53"/>
      <c r="H44" s="53"/>
      <c r="I44" s="53"/>
      <c r="J44" s="55"/>
    </row>
    <row r="45" customFormat="false" ht="15" hidden="false" customHeight="false" outlineLevel="0" collapsed="false">
      <c r="B45" s="72"/>
    </row>
    <row r="46" customFormat="false" ht="15" hidden="false" customHeight="false" outlineLevel="0" collapsed="false">
      <c r="B46" s="73"/>
    </row>
    <row r="47" customFormat="false" ht="15" hidden="false" customHeight="false" outlineLevel="0" collapsed="false">
      <c r="B47" s="73"/>
    </row>
    <row r="48" customFormat="false" ht="15" hidden="false" customHeight="false" outlineLevel="0" collapsed="false">
      <c r="B48" s="73"/>
    </row>
    <row r="49" customFormat="false" ht="15" hidden="false" customHeight="false" outlineLevel="0" collapsed="false">
      <c r="B49" s="73"/>
    </row>
    <row r="50" customFormat="false" ht="15" hidden="false" customHeight="false" outlineLevel="0" collapsed="false">
      <c r="B50" s="73"/>
    </row>
    <row r="51" customFormat="false" ht="15" hidden="false" customHeight="false" outlineLevel="0" collapsed="false">
      <c r="B51" s="7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34" colorId="64" zoomScale="150" zoomScaleNormal="150" zoomScalePageLayoutView="100" workbookViewId="0">
      <selection pane="topLeft" activeCell="E12" activeCellId="0" sqref="E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4" width="2.55"/>
    <col collapsed="false" customWidth="true" hidden="false" outlineLevel="0" max="2" min="2" style="74" width="81.39"/>
    <col collapsed="false" customWidth="true" hidden="false" outlineLevel="0" max="3" min="3" style="74" width="19.2"/>
    <col collapsed="false" customWidth="true" hidden="false" outlineLevel="0" max="4" min="4" style="74" width="6.25"/>
    <col collapsed="false" customWidth="true" hidden="false" outlineLevel="0" max="5" min="5" style="74" width="11.53"/>
    <col collapsed="false" customWidth="true" hidden="false" outlineLevel="0" max="6" min="6" style="74" width="34.25"/>
    <col collapsed="false" customWidth="true" hidden="false" outlineLevel="0" max="7" min="7" style="74" width="2.55"/>
    <col collapsed="false" customWidth="true" hidden="false" outlineLevel="0" max="8" min="8" style="74" width="66.15"/>
    <col collapsed="false" customWidth="true" hidden="false" outlineLevel="0" max="9" min="9" style="74" width="35.96"/>
    <col collapsed="false" customWidth="true" hidden="false" outlineLevel="0" max="10" min="10" style="74" width="2.55"/>
    <col collapsed="false" customWidth="false" hidden="false" outlineLevel="0" max="16383" min="12" style="74" width="8.68"/>
    <col collapsed="false" customWidth="true" hidden="false" outlineLevel="0" max="16384" min="16384" style="74" width="11.53"/>
  </cols>
  <sheetData>
    <row r="1" customFormat="false" ht="15" hidden="false" customHeight="false" outlineLevel="0" collapsed="false">
      <c r="A1" s="75"/>
      <c r="B1" s="75"/>
      <c r="C1" s="75"/>
      <c r="D1" s="75"/>
      <c r="E1" s="75"/>
      <c r="F1" s="75"/>
      <c r="G1" s="75"/>
      <c r="H1" s="75"/>
      <c r="I1" s="75"/>
      <c r="J1" s="75"/>
    </row>
    <row r="2" customFormat="false" ht="15" hidden="false" customHeight="false" outlineLevel="0" collapsed="false">
      <c r="A2" s="75"/>
      <c r="B2" s="65" t="s">
        <v>207</v>
      </c>
      <c r="C2" s="75"/>
      <c r="D2" s="75"/>
      <c r="E2" s="75"/>
      <c r="F2" s="75"/>
      <c r="G2" s="75"/>
      <c r="H2" s="75"/>
      <c r="I2" s="75"/>
      <c r="J2" s="75"/>
    </row>
    <row r="3" customFormat="false" ht="15" hidden="false" customHeight="false" outlineLevel="0" collapsed="false">
      <c r="A3" s="75"/>
      <c r="B3" s="75"/>
      <c r="C3" s="75"/>
      <c r="D3" s="75"/>
      <c r="E3" s="75"/>
      <c r="F3" s="75"/>
      <c r="G3" s="75"/>
      <c r="H3" s="75"/>
      <c r="I3" s="75"/>
      <c r="J3" s="75"/>
    </row>
    <row r="4" customFormat="false" ht="49.75" hidden="false" customHeight="false" outlineLevel="0" collapsed="false">
      <c r="A4" s="75"/>
      <c r="B4" s="76" t="s">
        <v>208</v>
      </c>
      <c r="C4" s="75"/>
      <c r="D4" s="75"/>
      <c r="E4" s="75"/>
      <c r="F4" s="75"/>
      <c r="G4" s="75"/>
      <c r="H4" s="75"/>
      <c r="I4" s="75"/>
      <c r="J4" s="75"/>
    </row>
    <row r="5" customFormat="false" ht="15" hidden="false" customHeight="false" outlineLevel="0" collapsed="false">
      <c r="A5" s="75"/>
      <c r="B5" s="77" t="s">
        <v>2</v>
      </c>
      <c r="C5" s="75"/>
      <c r="D5" s="75"/>
      <c r="E5" s="75"/>
      <c r="F5" s="75"/>
      <c r="G5" s="75"/>
      <c r="H5" s="75"/>
      <c r="I5" s="75"/>
      <c r="J5" s="75"/>
    </row>
    <row r="6" customFormat="false" ht="15" hidden="false" customHeight="false" outlineLevel="0" collapsed="false">
      <c r="A6" s="75"/>
      <c r="B6" s="78"/>
      <c r="C6" s="75"/>
      <c r="D6" s="75"/>
      <c r="E6" s="75"/>
      <c r="F6" s="75"/>
      <c r="G6" s="75"/>
      <c r="H6" s="75"/>
      <c r="I6" s="75"/>
      <c r="J6" s="75"/>
    </row>
    <row r="7" customFormat="false" ht="73.6" hidden="false" customHeight="false" outlineLevel="0" collapsed="false">
      <c r="A7" s="75"/>
      <c r="B7" s="76" t="s">
        <v>209</v>
      </c>
      <c r="C7" s="75"/>
      <c r="D7" s="75"/>
      <c r="E7" s="75"/>
      <c r="F7" s="75"/>
      <c r="G7" s="75"/>
      <c r="H7" s="75"/>
      <c r="I7" s="75"/>
      <c r="J7" s="75"/>
    </row>
    <row r="8" customFormat="false" ht="15" hidden="false" customHeight="false" outlineLevel="0" collapsed="false">
      <c r="A8" s="75"/>
      <c r="B8" s="75"/>
      <c r="C8" s="75"/>
      <c r="D8" s="75"/>
      <c r="E8" s="75"/>
      <c r="F8" s="75"/>
      <c r="G8" s="75"/>
      <c r="H8" s="75"/>
      <c r="I8" s="75"/>
      <c r="J8" s="75"/>
    </row>
    <row r="9" customFormat="false" ht="15" hidden="false" customHeight="false" outlineLevel="0" collapsed="false">
      <c r="A9" s="75"/>
      <c r="B9" s="65" t="s">
        <v>174</v>
      </c>
      <c r="C9" s="75"/>
      <c r="D9" s="75"/>
      <c r="E9" s="75"/>
      <c r="F9" s="75"/>
      <c r="G9" s="75"/>
      <c r="H9" s="75"/>
      <c r="I9" s="75"/>
      <c r="J9" s="75"/>
    </row>
    <row r="10" customFormat="false" ht="15" hidden="false" customHeight="false" outlineLevel="0" collapsed="false">
      <c r="A10" s="75"/>
      <c r="B10" s="79" t="s">
        <v>8</v>
      </c>
      <c r="C10" s="80" t="s">
        <v>9</v>
      </c>
      <c r="D10" s="81" t="s">
        <v>10</v>
      </c>
      <c r="E10" s="82"/>
      <c r="F10" s="81" t="s">
        <v>48</v>
      </c>
      <c r="G10" s="82"/>
      <c r="H10" s="82"/>
      <c r="I10" s="82"/>
      <c r="J10" s="75"/>
    </row>
    <row r="11" customFormat="false" ht="28.85" hidden="false" customHeight="false" outlineLevel="0" collapsed="false">
      <c r="A11" s="75"/>
      <c r="B11" s="83" t="s">
        <v>175</v>
      </c>
      <c r="C11" s="84" t="n">
        <f aca="false">'Class-E Calculator'!C18</f>
        <v>14</v>
      </c>
      <c r="D11" s="65" t="s">
        <v>16</v>
      </c>
      <c r="E11" s="75"/>
      <c r="F11" s="65" t="s">
        <v>176</v>
      </c>
      <c r="G11" s="75"/>
      <c r="H11" s="75"/>
      <c r="I11" s="75"/>
      <c r="J11" s="75"/>
    </row>
    <row r="12" customFormat="false" ht="69.15" hidden="false" customHeight="false" outlineLevel="0" collapsed="false">
      <c r="A12" s="75"/>
      <c r="B12" s="83" t="s">
        <v>177</v>
      </c>
      <c r="C12" s="84" t="n">
        <f aca="false">'Class-E Calculator'!C42</f>
        <v>32.289222500631</v>
      </c>
      <c r="D12" s="65" t="s">
        <v>22</v>
      </c>
      <c r="E12" s="75"/>
      <c r="F12" s="65" t="s">
        <v>178</v>
      </c>
      <c r="G12" s="75"/>
      <c r="H12" s="75"/>
      <c r="I12" s="75"/>
      <c r="J12" s="75"/>
    </row>
    <row r="13" customFormat="false" ht="28.85" hidden="false" customHeight="false" outlineLevel="0" collapsed="false">
      <c r="A13" s="75"/>
      <c r="B13" s="83" t="s">
        <v>179</v>
      </c>
      <c r="C13" s="84" t="n">
        <f aca="false">'Class-E Calculator'!C25</f>
        <v>50</v>
      </c>
      <c r="D13" s="65" t="s">
        <v>22</v>
      </c>
      <c r="E13" s="75"/>
      <c r="F13" s="65" t="s">
        <v>180</v>
      </c>
      <c r="G13" s="75"/>
      <c r="H13" s="75"/>
      <c r="I13" s="75"/>
      <c r="J13" s="75"/>
    </row>
    <row r="14" customFormat="false" ht="28.85" hidden="false" customHeight="false" outlineLevel="0" collapsed="false">
      <c r="A14" s="75"/>
      <c r="B14" s="83" t="s">
        <v>181</v>
      </c>
      <c r="C14" s="84" t="n">
        <f aca="false">'Class-E Calculator'!C16</f>
        <v>5</v>
      </c>
      <c r="D14" s="65" t="s">
        <v>12</v>
      </c>
      <c r="E14" s="75"/>
      <c r="F14" s="65" t="s">
        <v>182</v>
      </c>
      <c r="G14" s="75"/>
      <c r="H14" s="75"/>
      <c r="I14" s="75"/>
      <c r="J14" s="75"/>
    </row>
    <row r="15" customFormat="false" ht="15" hidden="false" customHeight="false" outlineLevel="0" collapsed="false">
      <c r="A15" s="75"/>
      <c r="B15" s="83" t="s">
        <v>183</v>
      </c>
      <c r="C15" s="84" t="n">
        <f aca="false">'Class-E Calculator'!C17</f>
        <v>0.4</v>
      </c>
      <c r="D15" s="65" t="s">
        <v>14</v>
      </c>
      <c r="E15" s="75"/>
      <c r="F15" s="65" t="s">
        <v>184</v>
      </c>
      <c r="G15" s="75"/>
      <c r="H15" s="75"/>
      <c r="I15" s="75"/>
      <c r="J15" s="75"/>
    </row>
    <row r="16" customFormat="false" ht="15" hidden="false" customHeight="false" outlineLevel="0" collapsed="false">
      <c r="A16" s="75"/>
      <c r="B16" s="75"/>
      <c r="C16" s="85"/>
      <c r="D16" s="75"/>
      <c r="E16" s="75"/>
      <c r="F16" s="75"/>
      <c r="G16" s="75"/>
      <c r="H16" s="75"/>
      <c r="I16" s="75"/>
      <c r="J16" s="75"/>
    </row>
    <row r="17" customFormat="false" ht="28.85" hidden="false" customHeight="false" outlineLevel="0" collapsed="false">
      <c r="A17" s="75"/>
      <c r="B17" s="65" t="s">
        <v>47</v>
      </c>
      <c r="C17" s="85"/>
      <c r="D17" s="75"/>
      <c r="E17" s="75"/>
      <c r="F17" s="65" t="str">
        <f aca="false">IF('Class-E Calculator'!C25/'Class-E Calculator'!C42&lt;1.5,"✅ Impedance ratio n&lt;1.5 — direct asymmetric LPF is valid.",IF('Class-E Calculator'!C25/'Class-E Calculator'!C42&lt;=3,"⚠ n="&amp;TEXT('Class-E Calculator'!C25/'Class-E Calculator'!C42,"0.0")&amp;" — Valid range, verify with LTspice.","🚨 n="&amp;TEXT('Class-E Calculator'!C25/'Class-E Calculator'!C42,"0.0")&amp;" — Use L-network + 50Ω LPF on main sheet instead."))</f>
        <v>⚠ n=02 — Valid range, verify with LTspice.</v>
      </c>
      <c r="G17" s="75"/>
      <c r="H17" s="75"/>
      <c r="I17" s="75"/>
      <c r="J17" s="75"/>
    </row>
    <row r="18" customFormat="false" ht="15" hidden="false" customHeight="false" outlineLevel="0" collapsed="false">
      <c r="A18" s="75"/>
      <c r="B18" s="79" t="s">
        <v>8</v>
      </c>
      <c r="C18" s="80" t="s">
        <v>9</v>
      </c>
      <c r="D18" s="81" t="s">
        <v>10</v>
      </c>
      <c r="E18" s="82"/>
      <c r="F18" s="81" t="s">
        <v>48</v>
      </c>
      <c r="G18" s="82"/>
      <c r="H18" s="82"/>
      <c r="I18" s="82"/>
      <c r="J18" s="75"/>
    </row>
    <row r="19" customFormat="false" ht="42.25" hidden="false" customHeight="false" outlineLevel="0" collapsed="false">
      <c r="A19" s="75"/>
      <c r="B19" s="83" t="s">
        <v>134</v>
      </c>
      <c r="C19" s="86" t="n">
        <f aca="false">1.4*C11</f>
        <v>19.6</v>
      </c>
      <c r="D19" s="65" t="s">
        <v>16</v>
      </c>
      <c r="E19" s="75"/>
      <c r="F19" s="65" t="s">
        <v>185</v>
      </c>
      <c r="G19" s="75"/>
      <c r="H19" s="75"/>
      <c r="I19" s="75"/>
      <c r="J19" s="75"/>
    </row>
    <row r="20" customFormat="false" ht="15" hidden="false" customHeight="false" outlineLevel="0" collapsed="false">
      <c r="A20" s="75"/>
      <c r="B20" s="83" t="s">
        <v>136</v>
      </c>
      <c r="C20" s="86" t="n">
        <f aca="false">2*PI()*C19*1000000</f>
        <v>123150432.02072</v>
      </c>
      <c r="D20" s="65" t="s">
        <v>50</v>
      </c>
      <c r="E20" s="75"/>
      <c r="F20" s="75"/>
      <c r="G20" s="75"/>
      <c r="H20" s="75"/>
      <c r="I20" s="75"/>
      <c r="J20" s="75"/>
    </row>
    <row r="21" customFormat="false" ht="82.55" hidden="false" customHeight="false" outlineLevel="0" collapsed="false">
      <c r="A21" s="75"/>
      <c r="B21" s="83" t="s">
        <v>186</v>
      </c>
      <c r="C21" s="86" t="n">
        <f aca="false">IF(NOT(ISNUMBER(C12)),"⚠ R_opt invalid — fix QL on main sheet first",C13/C12)</f>
        <v>1.54850430353419</v>
      </c>
      <c r="D21" s="65" t="s">
        <v>18</v>
      </c>
      <c r="E21" s="75"/>
      <c r="F21" s="65" t="s">
        <v>210</v>
      </c>
      <c r="G21" s="75"/>
      <c r="H21" s="75"/>
      <c r="I21" s="75"/>
      <c r="J21" s="75"/>
    </row>
    <row r="22" customFormat="false" ht="82.55" hidden="false" customHeight="false" outlineLevel="0" collapsed="false">
      <c r="A22" s="75"/>
      <c r="B22" s="83" t="s">
        <v>188</v>
      </c>
      <c r="C22" s="86" t="n">
        <f aca="false">IF(NOT(ISNUMBER(C12)),"⚠ R_opt invalid — fix QL on main sheet first",SQRT(C12*C13))</f>
        <v>40.1803574527598</v>
      </c>
      <c r="D22" s="65" t="s">
        <v>22</v>
      </c>
      <c r="E22" s="75"/>
      <c r="F22" s="65" t="s">
        <v>211</v>
      </c>
      <c r="G22" s="75"/>
      <c r="H22" s="75"/>
      <c r="I22" s="75"/>
      <c r="J22" s="75"/>
    </row>
    <row r="23" customFormat="false" ht="176.6" hidden="false" customHeight="false" outlineLevel="0" collapsed="false">
      <c r="A23" s="75"/>
      <c r="B23" s="83" t="s">
        <v>190</v>
      </c>
      <c r="C23" s="86" t="n">
        <f aca="false">MAX(3.562*('Class-E Calculator'!C16-'Class-E Calculator'!C35-'Class-E Calculator'!C20)+'Class-E Calculator'!C20,3.562*('Class-E Calculator'!C16-'Class-E Calculator'!C20)+'Class-E Calculator'!C20)</f>
        <v>17.81</v>
      </c>
      <c r="D23" s="65" t="s">
        <v>12</v>
      </c>
      <c r="E23" s="75"/>
      <c r="F23" s="65" t="s">
        <v>191</v>
      </c>
      <c r="G23" s="75"/>
      <c r="H23" s="75"/>
      <c r="I23" s="75"/>
      <c r="J23" s="75"/>
    </row>
    <row r="24" customFormat="false" ht="55.7" hidden="false" customHeight="false" outlineLevel="0" collapsed="false">
      <c r="A24" s="75"/>
      <c r="B24" s="83" t="s">
        <v>192</v>
      </c>
      <c r="C24" s="86" t="n">
        <f aca="false">SQRT(C15/C13)</f>
        <v>0.0894427190999916</v>
      </c>
      <c r="D24" s="65" t="s">
        <v>55</v>
      </c>
      <c r="E24" s="75"/>
      <c r="F24" s="65" t="s">
        <v>212</v>
      </c>
      <c r="G24" s="75"/>
      <c r="H24" s="75"/>
      <c r="I24" s="75"/>
      <c r="J24" s="75"/>
    </row>
    <row r="25" customFormat="false" ht="15" hidden="false" customHeight="false" outlineLevel="0" collapsed="false">
      <c r="A25" s="75"/>
      <c r="B25" s="75"/>
      <c r="C25" s="85"/>
      <c r="D25" s="75"/>
      <c r="E25" s="75"/>
      <c r="F25" s="75"/>
      <c r="G25" s="75"/>
      <c r="H25" s="75"/>
      <c r="I25" s="75"/>
      <c r="J25" s="75"/>
    </row>
    <row r="26" customFormat="false" ht="28.85" hidden="false" customHeight="false" outlineLevel="0" collapsed="false">
      <c r="A26" s="75"/>
      <c r="B26" s="65" t="s">
        <v>213</v>
      </c>
      <c r="C26" s="75"/>
      <c r="D26" s="75"/>
      <c r="E26" s="75"/>
      <c r="F26" s="75"/>
      <c r="G26" s="75"/>
      <c r="H26" s="75"/>
      <c r="I26" s="75"/>
      <c r="J26" s="75"/>
    </row>
    <row r="27" customFormat="false" ht="15" hidden="false" customHeight="false" outlineLevel="0" collapsed="false">
      <c r="A27" s="75"/>
      <c r="B27" s="79" t="s">
        <v>8</v>
      </c>
      <c r="C27" s="80" t="s">
        <v>9</v>
      </c>
      <c r="D27" s="80" t="s">
        <v>10</v>
      </c>
      <c r="E27" s="81" t="s">
        <v>60</v>
      </c>
      <c r="F27" s="81" t="s">
        <v>48</v>
      </c>
      <c r="G27" s="82"/>
      <c r="H27" s="82"/>
      <c r="I27" s="82"/>
      <c r="J27" s="75"/>
    </row>
    <row r="28" customFormat="false" ht="42.25" hidden="false" customHeight="false" outlineLevel="0" collapsed="false">
      <c r="A28" s="75"/>
      <c r="B28" s="83" t="s">
        <v>214</v>
      </c>
      <c r="C28" s="86" t="n">
        <f aca="false">IF(NOT(ISNUMBER(C12)),"⚠ R_opt invalid — fix QL on main sheet first",IF(ISNUMBER(C21),IF(C21&gt;3,"⚠ n&gt;3: Use L-network + 50Ω LPF",1.181203*C22/C20),"⚠ n invalid"))</f>
        <v>3.85391735826692E-007</v>
      </c>
      <c r="D28" s="65" t="s">
        <v>67</v>
      </c>
      <c r="E28" s="75"/>
      <c r="F28" s="65" t="s">
        <v>196</v>
      </c>
      <c r="G28" s="75"/>
      <c r="H28" s="75"/>
      <c r="I28" s="75"/>
      <c r="J28" s="75"/>
    </row>
    <row r="29" customFormat="false" ht="15" hidden="false" customHeight="false" outlineLevel="0" collapsed="false">
      <c r="A29" s="75"/>
      <c r="B29" s="83" t="s">
        <v>141</v>
      </c>
      <c r="C29" s="86" t="n">
        <f aca="false">IF(ISNUMBER(C28),C28*1000000,C28)</f>
        <v>0.385391735826692</v>
      </c>
      <c r="D29" s="65" t="s">
        <v>70</v>
      </c>
      <c r="E29" s="65" t="str">
        <f aca="false">IFERROR(IF(ISNUMBER(C29),TEXT(10^INT(LOG10(ABS(C29)+1E-030))*CHOOSE(MATCH(C29/10^INT(LOG10(ABS(C29)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"&amp;D29,C29),"—")</f>
        <v>0 µH</v>
      </c>
      <c r="F29" s="75"/>
      <c r="G29" s="75"/>
      <c r="H29" s="75"/>
      <c r="I29" s="75"/>
      <c r="J29" s="75"/>
    </row>
    <row r="30" customFormat="false" ht="69.15" hidden="false" customHeight="false" outlineLevel="0" collapsed="false">
      <c r="A30" s="75"/>
      <c r="B30" s="83" t="s">
        <v>215</v>
      </c>
      <c r="C30" s="86" t="n">
        <f aca="false">IF(NOT(ISNUMBER(C12)),"⚠ R_opt invalid — fix QL on main sheet first",IF(C21&gt;3,"⚠ n&gt;3: Use L-network + 50Ω LPF",1.422802/(C12*C20)))</f>
        <v>3.57808735856706E-010</v>
      </c>
      <c r="D30" s="65" t="s">
        <v>62</v>
      </c>
      <c r="E30" s="75"/>
      <c r="F30" s="65" t="s">
        <v>198</v>
      </c>
      <c r="G30" s="75"/>
      <c r="H30" s="75"/>
      <c r="I30" s="75"/>
      <c r="J30" s="75"/>
    </row>
    <row r="31" customFormat="false" ht="15" hidden="false" customHeight="false" outlineLevel="0" collapsed="false">
      <c r="A31" s="75"/>
      <c r="B31" s="83" t="s">
        <v>144</v>
      </c>
      <c r="C31" s="86" t="n">
        <f aca="false">IF(ISNUMBER(C30),C30*1000000000000,C30)</f>
        <v>357.808735856706</v>
      </c>
      <c r="D31" s="65" t="s">
        <v>30</v>
      </c>
      <c r="E31" s="65" t="str">
        <f aca="false">IFERROR(IF(ISNUMBER(C31),TEXT(10^INT(LOG10(ABS(C31)+1E-030))*CHOOSE(MATCH(C31/10^INT(LOG10(ABS(C31)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"&amp;D31,C31),"—")</f>
        <v>360 pF</v>
      </c>
      <c r="F31" s="75"/>
      <c r="G31" s="75"/>
      <c r="H31" s="75"/>
      <c r="I31" s="75"/>
      <c r="J31" s="75"/>
    </row>
    <row r="32" customFormat="false" ht="42.25" hidden="false" customHeight="false" outlineLevel="0" collapsed="false">
      <c r="A32" s="75"/>
      <c r="B32" s="83" t="s">
        <v>216</v>
      </c>
      <c r="C32" s="86" t="n">
        <f aca="false">IF(NOT(ISNUMBER(C12)),"⚠ R_opt invalid — fix QL on main sheet first",IF(ISNUMBER(C21),IF(C21&gt;3,"⚠ n&gt;3: Use L-network + 50Ω LPF",2.096694*C22/C20),"⚠ n invalid"))</f>
        <v>6.84089475016072E-007</v>
      </c>
      <c r="D32" s="65" t="s">
        <v>67</v>
      </c>
      <c r="E32" s="75"/>
      <c r="F32" s="65" t="s">
        <v>217</v>
      </c>
      <c r="G32" s="75"/>
      <c r="H32" s="75"/>
      <c r="I32" s="75"/>
      <c r="J32" s="75"/>
    </row>
    <row r="33" customFormat="false" ht="15" hidden="false" customHeight="false" outlineLevel="0" collapsed="false">
      <c r="A33" s="75"/>
      <c r="B33" s="83" t="s">
        <v>147</v>
      </c>
      <c r="C33" s="86" t="n">
        <f aca="false">IF(ISNUMBER(C32),C32*1000000,C32)</f>
        <v>0.684089475016072</v>
      </c>
      <c r="D33" s="65" t="s">
        <v>70</v>
      </c>
      <c r="E33" s="65" t="str">
        <f aca="false">IFERROR(IF(ISNUMBER(C33),TEXT(10^INT(LOG10(ABS(C33)+1E-030))*CHOOSE(MATCH(C33/10^INT(LOG10(ABS(C33)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"&amp;D33,C33),"—")</f>
        <v>01 µH</v>
      </c>
      <c r="F33" s="75"/>
      <c r="G33" s="75"/>
      <c r="H33" s="75"/>
      <c r="I33" s="75"/>
      <c r="J33" s="75"/>
    </row>
    <row r="34" customFormat="false" ht="216.9" hidden="false" customHeight="false" outlineLevel="0" collapsed="false">
      <c r="A34" s="75"/>
      <c r="B34" s="83" t="s">
        <v>218</v>
      </c>
      <c r="C34" s="86" t="n">
        <f aca="false">IF(NOT(ISNUMBER(C12)),"⚠ R_opt invalid — fix QL on main sheet first",IF(NOT(ISNUMBER(C22)),"⚠ Z0_eff invalid",IF(C21&gt;3,"⚠ n&gt;3: Use L-network + 50Ω LPF",1.573396/(C22*C20))))</f>
        <v>3.17971580830855E-010</v>
      </c>
      <c r="D34" s="65" t="s">
        <v>62</v>
      </c>
      <c r="E34" s="75"/>
      <c r="F34" s="65" t="s">
        <v>219</v>
      </c>
      <c r="G34" s="75"/>
      <c r="H34" s="75"/>
      <c r="I34" s="75"/>
      <c r="J34" s="75"/>
    </row>
    <row r="35" customFormat="false" ht="15" hidden="false" customHeight="false" outlineLevel="0" collapsed="false">
      <c r="A35" s="75"/>
      <c r="B35" s="83" t="s">
        <v>150</v>
      </c>
      <c r="C35" s="86" t="n">
        <f aca="false">IF(ISNUMBER(C34),C34*1000000000000,C34)</f>
        <v>317.971580830855</v>
      </c>
      <c r="D35" s="65" t="s">
        <v>30</v>
      </c>
      <c r="E35" s="65" t="str">
        <f aca="false">IFERROR(IF(ISNUMBER(C35),TEXT(10^INT(LOG10(ABS(C35)+1E-030))*CHOOSE(MATCH(C35/10^INT(LOG10(ABS(C35)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"&amp;D35,C35),"—")</f>
        <v>330 pF</v>
      </c>
      <c r="F35" s="75"/>
      <c r="G35" s="75"/>
      <c r="H35" s="75"/>
      <c r="I35" s="75"/>
      <c r="J35" s="75"/>
    </row>
    <row r="36" customFormat="false" ht="42.25" hidden="false" customHeight="false" outlineLevel="0" collapsed="false">
      <c r="A36" s="75"/>
      <c r="B36" s="83" t="s">
        <v>220</v>
      </c>
      <c r="C36" s="86" t="n">
        <f aca="false">IF(NOT(ISNUMBER(C12)),"⚠ R_opt invalid — fix QL on main sheet first",IF(ISNUMBER(C21),IF(C21&gt;3,"⚠ n&gt;3: Use L-network + 50Ω LPF",2.096694*C22/C20),"⚠ n invalid"))</f>
        <v>6.84089475016072E-007</v>
      </c>
      <c r="D36" s="65" t="s">
        <v>67</v>
      </c>
      <c r="E36" s="75"/>
      <c r="F36" s="65" t="s">
        <v>221</v>
      </c>
      <c r="G36" s="75"/>
      <c r="H36" s="75"/>
      <c r="I36" s="75"/>
      <c r="J36" s="75"/>
    </row>
    <row r="37" customFormat="false" ht="15" hidden="false" customHeight="false" outlineLevel="0" collapsed="false">
      <c r="A37" s="75"/>
      <c r="B37" s="83" t="s">
        <v>153</v>
      </c>
      <c r="C37" s="86" t="n">
        <f aca="false">IF(ISNUMBER(C36),C36*1000000,C36)</f>
        <v>0.684089475016072</v>
      </c>
      <c r="D37" s="65" t="s">
        <v>70</v>
      </c>
      <c r="E37" s="65" t="str">
        <f aca="false">IFERROR(IF(ISNUMBER(C37),TEXT(10^INT(LOG10(ABS(C37)+1E-030))*CHOOSE(MATCH(C37/10^INT(LOG10(ABS(C37)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"&amp;D37,C37),"—")</f>
        <v>01 µH</v>
      </c>
      <c r="F37" s="75"/>
      <c r="G37" s="75"/>
      <c r="H37" s="75"/>
      <c r="I37" s="75"/>
      <c r="J37" s="75"/>
    </row>
    <row r="38" customFormat="false" ht="69.15" hidden="false" customHeight="false" outlineLevel="0" collapsed="false">
      <c r="A38" s="75"/>
      <c r="B38" s="83" t="s">
        <v>222</v>
      </c>
      <c r="C38" s="86" t="n">
        <f aca="false">IF(NOT(ISNUMBER(C12)),"⚠ R_opt invalid — fix QL on main sheet first",IF(NOT(ISNUMBER(C21)),"⚠ n invalid",IF(C21&gt;3,"⚠ n&gt;3: Use L-network + 50Ω LPF",1.422802/(C13*C20))))</f>
        <v>2.31067317694934E-010</v>
      </c>
      <c r="D38" s="65" t="s">
        <v>62</v>
      </c>
      <c r="E38" s="75"/>
      <c r="F38" s="65" t="s">
        <v>223</v>
      </c>
      <c r="G38" s="75"/>
      <c r="H38" s="75"/>
      <c r="I38" s="75"/>
      <c r="J38" s="75"/>
    </row>
    <row r="39" customFormat="false" ht="15" hidden="false" customHeight="false" outlineLevel="0" collapsed="false">
      <c r="A39" s="75"/>
      <c r="B39" s="83" t="s">
        <v>224</v>
      </c>
      <c r="C39" s="86" t="n">
        <f aca="false">IF(ISNUMBER(C38),C38*1000000000000,C38)</f>
        <v>231.067317694934</v>
      </c>
      <c r="D39" s="65" t="s">
        <v>30</v>
      </c>
      <c r="E39" s="65" t="str">
        <f aca="false">IFERROR(IF(ISNUMBER(C39),TEXT(10^INT(LOG10(ABS(C39)+1E-030))*CHOOSE(MATCH(C39/10^INT(LOG10(ABS(C39)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"&amp;D39,C39),"—")</f>
        <v>240 pF</v>
      </c>
      <c r="F39" s="75"/>
      <c r="G39" s="75"/>
      <c r="H39" s="75"/>
      <c r="I39" s="75"/>
      <c r="J39" s="75"/>
    </row>
    <row r="40" customFormat="false" ht="69.15" hidden="false" customHeight="false" outlineLevel="0" collapsed="false">
      <c r="A40" s="75"/>
      <c r="B40" s="83" t="s">
        <v>225</v>
      </c>
      <c r="C40" s="86" t="n">
        <f aca="false">IF(NOT(ISNUMBER(C12)),"⚠ R_opt invalid — fix QL on main sheet first",IF(ISNUMBER(C21),IF(C21&gt;3,"⚠ n&gt;3: Use L-network + 50Ω LPF",1.181203*C22/C20),"⚠ n invalid"))</f>
        <v>3.85391735826692E-007</v>
      </c>
      <c r="D40" s="65" t="s">
        <v>67</v>
      </c>
      <c r="E40" s="75"/>
      <c r="F40" s="65" t="s">
        <v>226</v>
      </c>
      <c r="G40" s="75"/>
      <c r="H40" s="75"/>
      <c r="I40" s="75"/>
      <c r="J40" s="75"/>
    </row>
    <row r="41" customFormat="false" ht="15" hidden="false" customHeight="false" outlineLevel="0" collapsed="false">
      <c r="A41" s="75"/>
      <c r="B41" s="83" t="s">
        <v>227</v>
      </c>
      <c r="C41" s="86" t="n">
        <f aca="false">IF(ISNUMBER(C40),C40*1000000,C40)</f>
        <v>0.385391735826692</v>
      </c>
      <c r="D41" s="65" t="s">
        <v>70</v>
      </c>
      <c r="E41" s="65" t="str">
        <f aca="false">IFERROR(IF(ISNUMBER(C41),TEXT(10^INT(LOG10(ABS(C41)+1E-030))*CHOOSE(MATCH(C41/10^INT(LOG10(ABS(C41)+1E-030)),{0,1.048809,1.148913,1.249,1.396424,1.549193,1.697056,1.897367,2.097618,2.297825,2.545584,2.84605,3.146427,3.446738,3.746999,4.095119,4.495553,4.895917,5.344156,5.892368,6.493073,7.141428,7.842194,8.638287,9.539392},1),1,1.1,1.2,1.3,1.5,1.6,1.8,2,2.2,2.4,2.7,3,3.3,3.6,3.9,4.3,4.7,5.1,5.6,6.2,6.8,7.5,8.2,9.1,10),"0.##")&amp;" "&amp;D41,C41),"—")</f>
        <v>0 µH</v>
      </c>
      <c r="F41" s="75"/>
      <c r="G41" s="75"/>
      <c r="H41" s="75"/>
      <c r="I41" s="75"/>
      <c r="J41" s="75"/>
    </row>
    <row r="42" customFormat="false" ht="15" hidden="false" customHeight="false" outlineLevel="0" collapsed="false">
      <c r="A42" s="75"/>
      <c r="B42" s="75"/>
      <c r="C42" s="85"/>
      <c r="D42" s="75"/>
      <c r="E42" s="75"/>
      <c r="F42" s="75"/>
      <c r="G42" s="75"/>
      <c r="H42" s="75"/>
      <c r="I42" s="75"/>
      <c r="J42" s="75"/>
    </row>
    <row r="43" customFormat="false" ht="15" hidden="false" customHeight="false" outlineLevel="0" collapsed="false">
      <c r="A43" s="75"/>
      <c r="B43" s="65" t="s">
        <v>112</v>
      </c>
      <c r="C43" s="75"/>
      <c r="D43" s="75"/>
      <c r="E43" s="75"/>
      <c r="F43" s="75"/>
      <c r="G43" s="75"/>
      <c r="H43" s="75"/>
      <c r="I43" s="75"/>
      <c r="J43" s="75"/>
    </row>
    <row r="44" customFormat="false" ht="15" hidden="false" customHeight="false" outlineLevel="0" collapsed="false">
      <c r="A44" s="75"/>
      <c r="B44" s="79" t="s">
        <v>8</v>
      </c>
      <c r="C44" s="80" t="s">
        <v>9</v>
      </c>
      <c r="D44" s="81" t="s">
        <v>10</v>
      </c>
      <c r="E44" s="82"/>
      <c r="F44" s="81" t="s">
        <v>48</v>
      </c>
      <c r="G44" s="82"/>
      <c r="H44" s="82"/>
      <c r="I44" s="82"/>
      <c r="J44" s="75"/>
    </row>
    <row r="45" customFormat="false" ht="96" hidden="false" customHeight="false" outlineLevel="0" collapsed="false">
      <c r="A45" s="75"/>
      <c r="B45" s="83" t="s">
        <v>205</v>
      </c>
      <c r="C45" s="86" t="n">
        <f aca="false">-10*LOG10((1+(10^(0.1/10)-1)*(64*(2*C11/C19)^7-112*(2*C11/C19)^5+56*(2*C11/C19)^3-7*(2*C11/C19))^2)/(1+(10^(0.1/10)-1)*(64*(C11/C19)^7-112*(C11/C19)^5+56*(C11/C19)^3-7*(C11/C19))^2))</f>
        <v>-32.0640508287318</v>
      </c>
      <c r="D45" s="65" t="s">
        <v>155</v>
      </c>
      <c r="E45" s="65" t="str">
        <f aca="false">IF(C45&lt;-50,"✅ UPPER BOUND ≥−50 dBc (see I45 for worst-case)",IF(C45&lt;-43,"⚠ UPPER BOUND ≥−43 dBc (FCC only; see I45)","🚨 Fails FCC −43 dBc even as upper bound"))</f>
        <v>🚨 Fails FCC −43 dBc even as upper bound</v>
      </c>
      <c r="F45" s="65" t="str">
        <f aca="false">IF(C45&lt;-50,"✅ "&amp;TEXT(ABS(C45),"0.0")&amp;" dBc at 2f — meets IARU −50 dBc limit. Excellent 7-pole performance.",IF(C45&lt;-43,"⚠ "&amp;TEXT(ABS(C45),"0.0")&amp;" dBc — try fc=1.2×f for more stopband depth.","🚨 "&amp;TEXT(ABS(C45),"0.0")&amp;" dBc — reduce fc to 1.2×f."))</f>
        <v>🚨 32 dBc — reduce fc to 1.2×f.</v>
      </c>
      <c r="G45" s="75"/>
      <c r="H45" s="33" t="str">
        <f aca="false">IF(ABS(C21-1)&gt;0.05,"⚠ ASYMMETRIC FILTER — n=Z_load/R_opt="&amp;TEXT(C21,"0.00")&amp;"×. The Chebyshev attenuation formula below assumes equal source/load impedances. For asymmetric terminations: (a) passband insertion-loss error ≈"&amp;TEXT(ABS(10*LOG10((1+C21)^2/(4*C21))),"0.1")&amp;" dB; (b) stopband attenuation at 2f/3f can be 10–20 dB LOWER than calculated when n&gt;1.5. These C45/C46 values must be treated as UPPER BOUNDS only. Verify actual stopband depth with LTspice using R_opt as the source impedance.","✅ n≈1: near-symmetric — attenuation estimates reliable (error &lt;1 dB).")</f>
        <v>⚠ ASYMMETRIC FILTER — n=Z_load/R_opt=1,55×. The Chebyshev attenuation formula below assumes equal source/load impedances. For asymmetric terminations: (a) passband insertion-loss error ≈0 dB; (b) stopband attenuation at 2f/3f can be 10–20 dB LOWER than calculated when n&gt;1.5. These C45/C46 values must be treated as UPPER BOUNDS only. Verify actual stopband depth with LTspice using R_opt as the source impedance.</v>
      </c>
      <c r="I45" s="33" t="str">
        <f aca="false">IF(ABS(C21-1)&gt;0.05, "Lower-bound estimate (worst-case asymmetric): "&amp;TEXT(C45+20,"0.0")&amp;" dBc at 2f (up to 20 dB penalty for n="&amp;TEXT(C21,"0.00")&amp;"×). "&amp;IF(C45+20&lt;-50,"✅ Even worst-case meets IARU -50 dBc.",IF(C45+20&lt;-43,"⚠ Worst-case meets FCC -43 dBc only.","🚨 Worst-case may fail FCC -43 dBc.")), "— (n≈1, penalty small)")</f>
        <v>Lower-bound estimate (worst-case asymmetric): -12 dBc at 2f (up to 20 dB penalty for n=1,55×). 🚨 Worst-case may fail FCC -43 dBc.</v>
      </c>
      <c r="J45" s="75"/>
    </row>
    <row r="46" customFormat="false" ht="96" hidden="false" customHeight="false" outlineLevel="0" collapsed="false">
      <c r="A46" s="75"/>
      <c r="B46" s="83" t="s">
        <v>206</v>
      </c>
      <c r="C46" s="86" t="n">
        <f aca="false">-10*LOG10((1+(10^(0.1/10)-1)*(64*(3*C11/C19)^7-112*(3*C11/C19)^5+56*(3*C11/C19)^3-7*(3*C11/C19))^2)/(1+(10^(0.1/10)-1)*(64*(C11/C19)^7-112*(C11/C19)^5+56*(C11/C19)^3-7*(C11/C19))^2))</f>
        <v>-62.4728499132733</v>
      </c>
      <c r="D46" s="65" t="s">
        <v>155</v>
      </c>
      <c r="E46" s="65" t="str">
        <f aca="false">IF(C46&lt;-50,"✅ UPPER BOUND ≥−50 dBc at 3f (see I46)",IF(C46&lt;-43,"⚠ UPPER BOUND ≥−43 dBc FCC only (see I46)","🚨 Fails FCC −43 dBc at 3f (upper bound; see I46)"))</f>
        <v>✅ UPPER BOUND ≥−50 dBc at 3f (see I46)</v>
      </c>
      <c r="F46" s="65" t="str">
        <f aca="false">IF(C46&lt;-50,"✅ "&amp;TEXT(ABS(C46),"0.0")&amp;" dBc at 3f — meets IARU −50 dBc limit.",IF(C46&lt;-43,"⚠ "&amp;TEXT(ABS(C46),"0.0")&amp;" dBc at 3f — FCC limit only.","🚨 "&amp;TEXT(ABS(C46),"0.0")&amp;" dBc — reduce fc or increase poles."))</f>
        <v>✅ 62 dBc at 3f — meets IARU −50 dBc limit.</v>
      </c>
      <c r="G46" s="75"/>
      <c r="H46" s="33" t="str">
        <f aca="false">H45</f>
        <v>⚠ ASYMMETRIC FILTER — n=Z_load/R_opt=1,55×. The Chebyshev attenuation formula below assumes equal source/load impedances. For asymmetric terminations: (a) passband insertion-loss error ≈0 dB; (b) stopband attenuation at 2f/3f can be 10–20 dB LOWER than calculated when n&gt;1.5. These C45/C46 values must be treated as UPPER BOUNDS only. Verify actual stopband depth with LTspice using R_opt as the source impedance.</v>
      </c>
      <c r="I46" s="33" t="str">
        <f aca="false">IF(ABS(C21-1)&gt;0.05, "Lower-bound estimate (worst-case asymmetric): "&amp;TEXT(C46+20,"0.0")&amp;" dBc at 3f.", "—")</f>
        <v>Lower-bound estimate (worst-case asymmetric): -42 dBc at 3f.</v>
      </c>
      <c r="J46" s="75"/>
    </row>
    <row r="47" customFormat="false" ht="55.7" hidden="false" customHeight="false" outlineLevel="0" collapsed="false">
      <c r="A47" s="75"/>
      <c r="B47" s="83" t="s">
        <v>157</v>
      </c>
      <c r="C47" s="85"/>
      <c r="D47" s="75"/>
      <c r="E47" s="75"/>
      <c r="F47" s="65" t="str">
        <f aca="false">IF('Class-E Calculator'!C65&lt;0.1,"⚠ LPF SOURCE: No L-network present (C65&lt;0.1). LPF source = R_opt. Use this sheet for direct drain connection.","ℹ L-network is active (C65≥0.1). For best accuracy use the 5-pole or 7-pole 50Ω LPF on the main sheet instead of this direct-drain sheet.")</f>
        <v>ℹ L-network is active (C65≥0.1). For best accuracy use the 5-pole or 7-pole 50Ω LPF on the main sheet instead of this direct-drain sheet.</v>
      </c>
      <c r="G47" s="75"/>
      <c r="H47" s="75"/>
      <c r="I47" s="75"/>
      <c r="J47" s="75"/>
    </row>
    <row r="48" customFormat="false" ht="15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  <c r="I48" s="75"/>
      <c r="J48" s="7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F27" activeCellId="0" sqref="F2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2" width="2.55"/>
    <col collapsed="false" customWidth="true" hidden="false" outlineLevel="0" max="2" min="2" style="52" width="29.31"/>
    <col collapsed="false" customWidth="true" hidden="false" outlineLevel="0" max="3" min="3" style="52" width="35.7"/>
    <col collapsed="false" customWidth="true" hidden="false" outlineLevel="0" max="4" min="4" style="52" width="7.88"/>
    <col collapsed="false" customWidth="true" hidden="false" outlineLevel="0" max="5" min="5" style="52" width="5.66"/>
    <col collapsed="false" customWidth="true" hidden="false" outlineLevel="0" max="6" min="6" style="52" width="36"/>
    <col collapsed="false" customWidth="true" hidden="false" outlineLevel="0" max="7" min="7" style="0" width="3.42"/>
    <col collapsed="false" customWidth="true" hidden="false" outlineLevel="0" max="8" min="8" style="0" width="2.55"/>
  </cols>
  <sheetData>
    <row r="1" customFormat="false" ht="15" hidden="false" customHeight="false" outlineLevel="0" collapsed="false">
      <c r="A1" s="55"/>
      <c r="B1" s="55"/>
      <c r="C1" s="55"/>
      <c r="D1" s="55"/>
      <c r="E1" s="55"/>
      <c r="F1" s="55"/>
      <c r="G1" s="87"/>
      <c r="H1" s="87"/>
    </row>
    <row r="2" customFormat="false" ht="16.15" hidden="false" customHeight="false" outlineLevel="0" collapsed="false">
      <c r="A2" s="55"/>
      <c r="B2" s="88" t="s">
        <v>228</v>
      </c>
      <c r="C2" s="55"/>
      <c r="D2" s="55"/>
      <c r="E2" s="55"/>
      <c r="F2" s="55"/>
      <c r="G2" s="87"/>
      <c r="H2" s="87"/>
    </row>
    <row r="3" customFormat="false" ht="15" hidden="false" customHeight="false" outlineLevel="0" collapsed="false">
      <c r="A3" s="55"/>
      <c r="B3" s="89" t="s">
        <v>229</v>
      </c>
      <c r="C3" s="55"/>
      <c r="D3" s="55"/>
      <c r="E3" s="55"/>
      <c r="F3" s="55"/>
      <c r="G3" s="87"/>
      <c r="H3" s="87"/>
    </row>
    <row r="4" customFormat="false" ht="15" hidden="false" customHeight="false" outlineLevel="0" collapsed="false">
      <c r="A4" s="55"/>
      <c r="B4" s="90" t="s">
        <v>2</v>
      </c>
      <c r="C4" s="55"/>
      <c r="D4" s="55"/>
      <c r="E4" s="55"/>
      <c r="F4" s="55"/>
      <c r="G4" s="87"/>
      <c r="H4" s="87"/>
    </row>
    <row r="5" customFormat="false" ht="15" hidden="false" customHeight="false" outlineLevel="0" collapsed="false">
      <c r="A5" s="55"/>
      <c r="B5" s="91" t="s">
        <v>230</v>
      </c>
      <c r="C5" s="55"/>
      <c r="D5" s="55"/>
      <c r="E5" s="55"/>
      <c r="F5" s="55"/>
      <c r="G5" s="87"/>
      <c r="H5" s="87"/>
    </row>
    <row r="6" s="96" customFormat="true" ht="15" hidden="false" customHeight="false" outlineLevel="0" collapsed="false">
      <c r="A6" s="92"/>
      <c r="B6" s="93" t="s">
        <v>231</v>
      </c>
      <c r="C6" s="94"/>
      <c r="D6" s="94"/>
      <c r="E6" s="92"/>
      <c r="F6" s="92"/>
      <c r="G6" s="95"/>
      <c r="H6" s="95"/>
    </row>
    <row r="7" s="96" customFormat="true" ht="15" hidden="false" customHeight="false" outlineLevel="0" collapsed="false">
      <c r="A7" s="92"/>
      <c r="B7" s="93" t="s">
        <v>230</v>
      </c>
      <c r="C7" s="94"/>
      <c r="D7" s="94"/>
      <c r="E7" s="92"/>
      <c r="F7" s="92"/>
      <c r="G7" s="95"/>
      <c r="H7" s="95"/>
    </row>
    <row r="8" s="96" customFormat="true" ht="15" hidden="false" customHeight="false" outlineLevel="0" collapsed="false">
      <c r="A8" s="92"/>
      <c r="B8" s="93" t="s">
        <v>232</v>
      </c>
      <c r="C8" s="94"/>
      <c r="D8" s="94"/>
      <c r="E8" s="92"/>
      <c r="F8" s="92"/>
      <c r="G8" s="95"/>
      <c r="H8" s="95"/>
    </row>
    <row r="9" s="96" customFormat="true" ht="15" hidden="false" customHeight="false" outlineLevel="0" collapsed="false">
      <c r="A9" s="92"/>
      <c r="B9" s="93" t="s">
        <v>233</v>
      </c>
      <c r="C9" s="94"/>
      <c r="D9" s="94"/>
      <c r="E9" s="92"/>
      <c r="F9" s="92"/>
      <c r="G9" s="95"/>
      <c r="H9" s="95"/>
    </row>
    <row r="10" s="96" customFormat="true" ht="15" hidden="false" customHeight="false" outlineLevel="0" collapsed="false">
      <c r="A10" s="92"/>
      <c r="B10" s="93" t="s">
        <v>234</v>
      </c>
      <c r="C10" s="94"/>
      <c r="D10" s="94"/>
      <c r="E10" s="92"/>
      <c r="F10" s="92"/>
      <c r="G10" s="95"/>
      <c r="H10" s="95"/>
    </row>
    <row r="11" s="96" customFormat="true" ht="15" hidden="false" customHeight="false" outlineLevel="0" collapsed="false">
      <c r="A11" s="92"/>
      <c r="B11" s="93" t="s">
        <v>233</v>
      </c>
      <c r="C11" s="94"/>
      <c r="D11" s="94"/>
      <c r="E11" s="92"/>
      <c r="F11" s="92"/>
      <c r="G11" s="95"/>
      <c r="H11" s="95"/>
    </row>
    <row r="12" s="96" customFormat="true" ht="15" hidden="false" customHeight="false" outlineLevel="0" collapsed="false">
      <c r="A12" s="92"/>
      <c r="B12" s="93" t="s">
        <v>235</v>
      </c>
      <c r="C12" s="94"/>
      <c r="D12" s="94"/>
      <c r="E12" s="92"/>
      <c r="F12" s="92"/>
      <c r="G12" s="95"/>
      <c r="H12" s="95"/>
    </row>
    <row r="13" s="96" customFormat="true" ht="15" hidden="false" customHeight="false" outlineLevel="0" collapsed="false">
      <c r="A13" s="92"/>
      <c r="B13" s="93" t="s">
        <v>236</v>
      </c>
      <c r="C13" s="94"/>
      <c r="D13" s="94"/>
      <c r="E13" s="92"/>
      <c r="F13" s="92"/>
      <c r="G13" s="95"/>
      <c r="H13" s="95"/>
    </row>
    <row r="14" s="96" customFormat="true" ht="15" hidden="false" customHeight="false" outlineLevel="0" collapsed="false">
      <c r="A14" s="92"/>
      <c r="B14" s="93" t="s">
        <v>237</v>
      </c>
      <c r="C14" s="94"/>
      <c r="D14" s="94"/>
      <c r="E14" s="92"/>
      <c r="F14" s="92"/>
      <c r="G14" s="95"/>
      <c r="H14" s="95"/>
    </row>
    <row r="15" s="96" customFormat="true" ht="15" hidden="false" customHeight="false" outlineLevel="0" collapsed="false">
      <c r="A15" s="92"/>
      <c r="B15" s="93" t="s">
        <v>236</v>
      </c>
      <c r="C15" s="94"/>
      <c r="D15" s="94"/>
      <c r="E15" s="92"/>
      <c r="F15" s="92"/>
      <c r="G15" s="95"/>
      <c r="H15" s="95"/>
    </row>
    <row r="16" s="96" customFormat="true" ht="15" hidden="false" customHeight="false" outlineLevel="0" collapsed="false">
      <c r="A16" s="92"/>
      <c r="B16" s="93" t="s">
        <v>238</v>
      </c>
      <c r="C16" s="94"/>
      <c r="D16" s="94"/>
      <c r="E16" s="92"/>
      <c r="F16" s="92"/>
      <c r="G16" s="95"/>
      <c r="H16" s="95"/>
    </row>
    <row r="17" s="96" customFormat="true" ht="15" hidden="false" customHeight="false" outlineLevel="0" collapsed="false">
      <c r="A17" s="92"/>
      <c r="B17" s="93"/>
      <c r="C17" s="94"/>
      <c r="D17" s="94"/>
      <c r="E17" s="92"/>
      <c r="F17" s="92"/>
      <c r="G17" s="95"/>
      <c r="H17" s="95"/>
    </row>
    <row r="18" s="96" customFormat="true" ht="15" hidden="false" customHeight="false" outlineLevel="0" collapsed="false">
      <c r="A18" s="92"/>
      <c r="B18" s="93"/>
      <c r="C18" s="94"/>
      <c r="D18" s="94"/>
      <c r="E18" s="92"/>
      <c r="F18" s="92"/>
      <c r="G18" s="95"/>
      <c r="H18" s="95"/>
    </row>
    <row r="19" s="96" customFormat="true" ht="15" hidden="false" customHeight="false" outlineLevel="0" collapsed="false">
      <c r="A19" s="92"/>
      <c r="B19" s="93" t="s">
        <v>239</v>
      </c>
      <c r="C19" s="94"/>
      <c r="D19" s="94"/>
      <c r="E19" s="92"/>
      <c r="F19" s="92"/>
      <c r="G19" s="95"/>
      <c r="H19" s="95"/>
    </row>
    <row r="20" s="96" customFormat="true" ht="15" hidden="false" customHeight="false" outlineLevel="0" collapsed="false">
      <c r="A20" s="92"/>
      <c r="B20" s="93" t="s">
        <v>240</v>
      </c>
      <c r="C20" s="94"/>
      <c r="D20" s="94"/>
      <c r="E20" s="92"/>
      <c r="F20" s="92"/>
      <c r="G20" s="95"/>
      <c r="H20" s="95"/>
    </row>
    <row r="21" s="96" customFormat="true" ht="15" hidden="false" customHeight="false" outlineLevel="0" collapsed="false">
      <c r="A21" s="92"/>
      <c r="B21" s="93" t="s">
        <v>241</v>
      </c>
      <c r="C21" s="94"/>
      <c r="D21" s="94"/>
      <c r="E21" s="92"/>
      <c r="F21" s="92"/>
      <c r="G21" s="95"/>
      <c r="H21" s="95"/>
    </row>
    <row r="22" s="96" customFormat="true" ht="15" hidden="false" customHeight="false" outlineLevel="0" collapsed="false">
      <c r="A22" s="92"/>
      <c r="B22" s="93" t="s">
        <v>242</v>
      </c>
      <c r="C22" s="94"/>
      <c r="D22" s="94"/>
      <c r="E22" s="92"/>
      <c r="F22" s="92"/>
      <c r="G22" s="95"/>
      <c r="H22" s="95"/>
    </row>
    <row r="23" s="96" customFormat="true" ht="15" hidden="false" customHeight="false" outlineLevel="0" collapsed="false">
      <c r="A23" s="92"/>
      <c r="B23" s="93" t="s">
        <v>243</v>
      </c>
      <c r="C23" s="94"/>
      <c r="D23" s="94"/>
      <c r="E23" s="92"/>
      <c r="F23" s="92"/>
      <c r="G23" s="95"/>
      <c r="H23" s="95"/>
    </row>
    <row r="24" s="96" customFormat="true" ht="15" hidden="false" customHeight="false" outlineLevel="0" collapsed="false">
      <c r="A24" s="92"/>
      <c r="B24" s="93" t="s">
        <v>244</v>
      </c>
      <c r="C24" s="94"/>
      <c r="D24" s="94"/>
      <c r="E24" s="92"/>
      <c r="F24" s="92"/>
      <c r="G24" s="95"/>
      <c r="H24" s="95"/>
    </row>
    <row r="25" s="96" customFormat="true" ht="15" hidden="false" customHeight="false" outlineLevel="0" collapsed="false">
      <c r="A25" s="92"/>
      <c r="B25" s="93" t="s">
        <v>245</v>
      </c>
      <c r="C25" s="94"/>
      <c r="D25" s="94"/>
      <c r="E25" s="92"/>
      <c r="F25" s="92"/>
      <c r="G25" s="95"/>
      <c r="H25" s="95"/>
    </row>
    <row r="26" s="96" customFormat="true" ht="15" hidden="false" customHeight="false" outlineLevel="0" collapsed="false">
      <c r="A26" s="92"/>
      <c r="B26" s="93" t="s">
        <v>246</v>
      </c>
      <c r="C26" s="94"/>
      <c r="D26" s="94"/>
      <c r="E26" s="92"/>
      <c r="F26" s="92"/>
      <c r="G26" s="95"/>
      <c r="H26" s="95"/>
    </row>
    <row r="27" customFormat="false" ht="15" hidden="false" customHeight="false" outlineLevel="0" collapsed="false">
      <c r="A27" s="55"/>
      <c r="B27" s="91" t="s">
        <v>230</v>
      </c>
      <c r="C27" s="55"/>
      <c r="D27" s="55"/>
      <c r="E27" s="55"/>
      <c r="F27" s="55"/>
      <c r="G27" s="87"/>
      <c r="H27" s="87"/>
    </row>
    <row r="28" customFormat="false" ht="15" hidden="false" customHeight="false" outlineLevel="0" collapsed="false">
      <c r="A28" s="75"/>
      <c r="B28" s="97" t="s">
        <v>247</v>
      </c>
      <c r="C28" s="75"/>
      <c r="D28" s="75"/>
      <c r="E28" s="75"/>
      <c r="F28" s="75"/>
      <c r="G28" s="87"/>
      <c r="H28" s="87"/>
    </row>
    <row r="29" customFormat="false" ht="15" hidden="false" customHeight="false" outlineLevel="0" collapsed="false">
      <c r="A29" s="75"/>
      <c r="B29" s="97" t="s">
        <v>248</v>
      </c>
      <c r="C29" s="75"/>
      <c r="D29" s="75"/>
      <c r="E29" s="75"/>
      <c r="F29" s="75"/>
      <c r="G29" s="87"/>
      <c r="H29" s="87"/>
    </row>
    <row r="30" customFormat="false" ht="15" hidden="false" customHeight="false" outlineLevel="0" collapsed="false">
      <c r="A30" s="75"/>
      <c r="B30" s="97" t="s">
        <v>249</v>
      </c>
      <c r="C30" s="75"/>
      <c r="D30" s="75"/>
      <c r="E30" s="75"/>
      <c r="F30" s="75"/>
      <c r="G30" s="87"/>
      <c r="H30" s="87"/>
    </row>
    <row r="31" customFormat="false" ht="15" hidden="false" customHeight="false" outlineLevel="0" collapsed="false">
      <c r="A31" s="75"/>
      <c r="B31" s="97" t="s">
        <v>250</v>
      </c>
      <c r="C31" s="75"/>
      <c r="D31" s="75"/>
      <c r="E31" s="75"/>
      <c r="F31" s="75"/>
      <c r="G31" s="87"/>
      <c r="H31" s="87"/>
    </row>
    <row r="32" customFormat="false" ht="15" hidden="false" customHeight="false" outlineLevel="0" collapsed="false">
      <c r="A32" s="75"/>
      <c r="B32" s="97" t="s">
        <v>251</v>
      </c>
      <c r="C32" s="75"/>
      <c r="D32" s="75"/>
      <c r="E32" s="75"/>
      <c r="F32" s="75"/>
      <c r="G32" s="87"/>
      <c r="H32" s="87"/>
    </row>
    <row r="33" customFormat="false" ht="15" hidden="false" customHeight="false" outlineLevel="0" collapsed="false">
      <c r="A33" s="75"/>
      <c r="B33" s="97" t="s">
        <v>252</v>
      </c>
      <c r="C33" s="75"/>
      <c r="D33" s="75"/>
      <c r="E33" s="75"/>
      <c r="F33" s="75"/>
      <c r="G33" s="87"/>
      <c r="H33" s="87"/>
    </row>
    <row r="34" customFormat="false" ht="15" hidden="false" customHeight="false" outlineLevel="0" collapsed="false">
      <c r="A34" s="75"/>
      <c r="B34" s="97" t="s">
        <v>253</v>
      </c>
      <c r="C34" s="75"/>
      <c r="D34" s="75"/>
      <c r="E34" s="75"/>
      <c r="F34" s="75"/>
      <c r="G34" s="87"/>
      <c r="H34" s="87"/>
    </row>
    <row r="35" customFormat="false" ht="15" hidden="false" customHeight="false" outlineLevel="0" collapsed="false">
      <c r="A35" s="75"/>
      <c r="B35" s="97" t="s">
        <v>254</v>
      </c>
      <c r="C35" s="75"/>
      <c r="D35" s="75"/>
      <c r="E35" s="75"/>
      <c r="F35" s="75"/>
      <c r="G35" s="87"/>
      <c r="H35" s="87"/>
    </row>
    <row r="36" customFormat="false" ht="15" hidden="false" customHeight="false" outlineLevel="0" collapsed="false">
      <c r="A36" s="75"/>
      <c r="B36" s="75"/>
      <c r="C36" s="75"/>
      <c r="D36" s="75"/>
      <c r="E36" s="75"/>
      <c r="F36" s="75"/>
      <c r="G36" s="87"/>
      <c r="H36" s="87"/>
    </row>
    <row r="37" customFormat="false" ht="15" hidden="false" customHeight="false" outlineLevel="0" collapsed="false">
      <c r="A37" s="75"/>
      <c r="B37" s="98" t="s">
        <v>255</v>
      </c>
      <c r="C37" s="99"/>
      <c r="D37" s="99"/>
      <c r="E37" s="99"/>
      <c r="F37" s="99"/>
      <c r="G37" s="87"/>
      <c r="H37" s="87"/>
    </row>
    <row r="38" customFormat="false" ht="15" hidden="false" customHeight="false" outlineLevel="0" collapsed="false">
      <c r="A38" s="75"/>
      <c r="B38" s="100" t="s">
        <v>256</v>
      </c>
      <c r="C38" s="100" t="s">
        <v>257</v>
      </c>
      <c r="D38" s="100" t="s">
        <v>60</v>
      </c>
      <c r="E38" s="100" t="s">
        <v>10</v>
      </c>
      <c r="F38" s="100" t="s">
        <v>258</v>
      </c>
      <c r="G38" s="101"/>
      <c r="H38" s="87"/>
    </row>
    <row r="39" customFormat="false" ht="15" hidden="false" customHeight="false" outlineLevel="0" collapsed="false">
      <c r="A39" s="75"/>
      <c r="B39" s="98" t="s">
        <v>259</v>
      </c>
      <c r="C39" s="102" t="s">
        <v>260</v>
      </c>
      <c r="D39" s="103" t="str">
        <f aca="false">'Class-E Calculator'!E55</f>
        <v>018 µH</v>
      </c>
      <c r="E39" s="102" t="s">
        <v>70</v>
      </c>
      <c r="F39" s="102" t="s">
        <v>261</v>
      </c>
      <c r="G39" s="87"/>
      <c r="H39" s="87"/>
    </row>
    <row r="40" customFormat="false" ht="15" hidden="false" customHeight="false" outlineLevel="0" collapsed="false">
      <c r="A40" s="75"/>
      <c r="B40" s="98" t="s">
        <v>262</v>
      </c>
      <c r="C40" s="102" t="s">
        <v>263</v>
      </c>
      <c r="D40" s="103" t="str">
        <f aca="false">'Class-E Calculator'!E49</f>
        <v>075 pF</v>
      </c>
      <c r="E40" s="102" t="s">
        <v>30</v>
      </c>
      <c r="F40" s="102" t="s">
        <v>264</v>
      </c>
      <c r="G40" s="87"/>
      <c r="H40" s="87"/>
    </row>
    <row r="41" customFormat="false" ht="15" hidden="false" customHeight="false" outlineLevel="0" collapsed="false">
      <c r="A41" s="75"/>
      <c r="B41" s="98" t="s">
        <v>265</v>
      </c>
      <c r="C41" s="102" t="s">
        <v>266</v>
      </c>
      <c r="D41" s="103" t="str">
        <f aca="false">'Class-E Calculator'!E51</f>
        <v>02 µH</v>
      </c>
      <c r="E41" s="102" t="s">
        <v>70</v>
      </c>
      <c r="F41" s="102" t="s">
        <v>267</v>
      </c>
      <c r="G41" s="87"/>
      <c r="H41" s="87"/>
    </row>
    <row r="42" customFormat="false" ht="15" hidden="false" customHeight="false" outlineLevel="0" collapsed="false">
      <c r="A42" s="75"/>
      <c r="B42" s="98" t="s">
        <v>268</v>
      </c>
      <c r="C42" s="102" t="s">
        <v>269</v>
      </c>
      <c r="D42" s="103" t="str">
        <f aca="false">'Class-E Calculator'!E53</f>
        <v>091 pF</v>
      </c>
      <c r="E42" s="102" t="s">
        <v>30</v>
      </c>
      <c r="F42" s="102" t="s">
        <v>270</v>
      </c>
      <c r="G42" s="87"/>
      <c r="H42" s="87"/>
    </row>
    <row r="43" customFormat="false" ht="15" hidden="false" customHeight="false" outlineLevel="0" collapsed="false">
      <c r="A43" s="75"/>
      <c r="B43" s="98" t="s">
        <v>271</v>
      </c>
      <c r="C43" s="102" t="s">
        <v>272</v>
      </c>
      <c r="D43" s="103" t="str">
        <f aca="false">'LPF Direct 5-poles'!E29</f>
        <v>0 µH</v>
      </c>
      <c r="E43" s="102" t="s">
        <v>70</v>
      </c>
      <c r="F43" s="102" t="s">
        <v>273</v>
      </c>
      <c r="G43" s="87"/>
      <c r="H43" s="87"/>
    </row>
    <row r="44" customFormat="false" ht="15" hidden="false" customHeight="false" outlineLevel="0" collapsed="false">
      <c r="A44" s="75"/>
      <c r="B44" s="98" t="s">
        <v>274</v>
      </c>
      <c r="C44" s="102" t="s">
        <v>275</v>
      </c>
      <c r="D44" s="103" t="str">
        <f aca="false">'LPF Direct 5-poles'!E31</f>
        <v>360 pF</v>
      </c>
      <c r="E44" s="102" t="s">
        <v>30</v>
      </c>
      <c r="F44" s="102" t="s">
        <v>276</v>
      </c>
      <c r="G44" s="87"/>
      <c r="H44" s="87"/>
    </row>
    <row r="45" customFormat="false" ht="15" hidden="false" customHeight="false" outlineLevel="0" collapsed="false">
      <c r="A45" s="75"/>
      <c r="B45" s="98" t="s">
        <v>277</v>
      </c>
      <c r="C45" s="102" t="s">
        <v>278</v>
      </c>
      <c r="D45" s="103" t="str">
        <f aca="false">'LPF Direct 5-poles'!E33</f>
        <v>01 µH</v>
      </c>
      <c r="E45" s="102" t="s">
        <v>70</v>
      </c>
      <c r="F45" s="102" t="s">
        <v>279</v>
      </c>
      <c r="G45" s="87"/>
      <c r="H45" s="87"/>
    </row>
    <row r="46" customFormat="false" ht="15" hidden="false" customHeight="false" outlineLevel="0" collapsed="false">
      <c r="A46" s="75"/>
      <c r="B46" s="98" t="s">
        <v>280</v>
      </c>
      <c r="C46" s="102" t="s">
        <v>281</v>
      </c>
      <c r="D46" s="103" t="str">
        <f aca="false">'LPF Direct 5-poles'!E35</f>
        <v>220 pF</v>
      </c>
      <c r="E46" s="102" t="s">
        <v>30</v>
      </c>
      <c r="F46" s="102" t="s">
        <v>282</v>
      </c>
      <c r="G46" s="87"/>
      <c r="H46" s="87"/>
    </row>
    <row r="47" customFormat="false" ht="15" hidden="false" customHeight="false" outlineLevel="0" collapsed="false">
      <c r="A47" s="75"/>
      <c r="B47" s="98" t="s">
        <v>283</v>
      </c>
      <c r="C47" s="102" t="s">
        <v>284</v>
      </c>
      <c r="D47" s="103" t="str">
        <f aca="false">'LPF Direct 5-poles'!E37</f>
        <v>0 µH</v>
      </c>
      <c r="E47" s="102" t="s">
        <v>70</v>
      </c>
      <c r="F47" s="102" t="s">
        <v>285</v>
      </c>
      <c r="G47" s="87"/>
      <c r="H47" s="87"/>
    </row>
    <row r="48" customFormat="false" ht="15" hidden="false" customHeight="false" outlineLevel="0" collapsed="false">
      <c r="A48" s="75"/>
      <c r="B48" s="99"/>
      <c r="C48" s="99"/>
      <c r="D48" s="99"/>
      <c r="E48" s="99"/>
      <c r="F48" s="99"/>
      <c r="G48" s="87"/>
      <c r="H48" s="87"/>
    </row>
    <row r="49" customFormat="false" ht="15" hidden="false" customHeight="false" outlineLevel="0" collapsed="false">
      <c r="A49" s="75"/>
      <c r="B49" s="98" t="s">
        <v>286</v>
      </c>
      <c r="C49" s="99"/>
      <c r="D49" s="99"/>
      <c r="E49" s="99"/>
      <c r="F49" s="99"/>
      <c r="G49" s="87"/>
      <c r="H49" s="87"/>
    </row>
    <row r="50" customFormat="false" ht="15" hidden="false" customHeight="false" outlineLevel="0" collapsed="false">
      <c r="A50" s="75"/>
      <c r="B50" s="98" t="s">
        <v>175</v>
      </c>
      <c r="C50" s="103" t="n">
        <f aca="false">'Class-E Calculator'!C18</f>
        <v>14</v>
      </c>
      <c r="D50" s="102" t="s">
        <v>16</v>
      </c>
      <c r="E50" s="99"/>
      <c r="F50" s="99"/>
      <c r="G50" s="87"/>
      <c r="H50" s="87"/>
    </row>
    <row r="51" customFormat="false" ht="15" hidden="false" customHeight="false" outlineLevel="0" collapsed="false">
      <c r="A51" s="75"/>
      <c r="B51" s="98" t="s">
        <v>287</v>
      </c>
      <c r="C51" s="104" t="n">
        <f aca="false">'Class-E Calculator'!C42</f>
        <v>32.289222500631</v>
      </c>
      <c r="D51" s="102" t="s">
        <v>22</v>
      </c>
      <c r="E51" s="99"/>
      <c r="F51" s="99"/>
      <c r="G51" s="87"/>
      <c r="H51" s="87"/>
    </row>
    <row r="52" customFormat="false" ht="15" hidden="false" customHeight="false" outlineLevel="0" collapsed="false">
      <c r="A52" s="75"/>
      <c r="B52" s="98" t="s">
        <v>288</v>
      </c>
      <c r="C52" s="103" t="n">
        <f aca="false">'Class-E Calculator'!C16</f>
        <v>5</v>
      </c>
      <c r="D52" s="102" t="s">
        <v>12</v>
      </c>
      <c r="E52" s="99"/>
      <c r="F52" s="99"/>
      <c r="G52" s="87"/>
      <c r="H52" s="87"/>
    </row>
    <row r="53" customFormat="false" ht="15" hidden="false" customHeight="false" outlineLevel="0" collapsed="false">
      <c r="A53" s="75"/>
      <c r="B53" s="98" t="s">
        <v>289</v>
      </c>
      <c r="C53" s="103" t="n">
        <f aca="false">'Class-E Calculator'!C17</f>
        <v>0.4</v>
      </c>
      <c r="D53" s="102" t="s">
        <v>14</v>
      </c>
      <c r="E53" s="99"/>
      <c r="F53" s="99"/>
      <c r="G53" s="87"/>
      <c r="H53" s="87"/>
    </row>
    <row r="54" customFormat="false" ht="15" hidden="false" customHeight="false" outlineLevel="0" collapsed="false">
      <c r="A54" s="75"/>
      <c r="B54" s="98" t="s">
        <v>290</v>
      </c>
      <c r="C54" s="103" t="n">
        <f aca="false">'LPF Direct 5-poles'!C19</f>
        <v>19.6</v>
      </c>
      <c r="D54" s="102" t="s">
        <v>16</v>
      </c>
      <c r="E54" s="99"/>
      <c r="F54" s="99"/>
      <c r="G54" s="87"/>
      <c r="H54" s="87"/>
    </row>
    <row r="55" customFormat="false" ht="15" hidden="false" customHeight="false" outlineLevel="0" collapsed="false">
      <c r="A55" s="75"/>
      <c r="B55" s="98" t="s">
        <v>291</v>
      </c>
      <c r="C55" s="104" t="n">
        <f aca="false">'LPF Direct 5-poles'!C41</f>
        <v>-16.5874077706108</v>
      </c>
      <c r="D55" s="102" t="s">
        <v>155</v>
      </c>
      <c r="E55" s="99"/>
      <c r="F55" s="99"/>
      <c r="G55" s="87"/>
      <c r="H55" s="87"/>
    </row>
    <row r="56" customFormat="false" ht="15" hidden="false" customHeight="false" outlineLevel="0" collapsed="false">
      <c r="A56" s="75"/>
      <c r="B56" s="98" t="s">
        <v>292</v>
      </c>
      <c r="C56" s="104" t="n">
        <f aca="false">'LPF Direct 5-poles'!C42</f>
        <v>-38.2143276045362</v>
      </c>
      <c r="D56" s="102" t="s">
        <v>155</v>
      </c>
      <c r="E56" s="99"/>
      <c r="F56" s="99"/>
      <c r="G56" s="87"/>
      <c r="H56" s="87"/>
    </row>
    <row r="57" customFormat="false" ht="15" hidden="false" customHeight="false" outlineLevel="0" collapsed="false">
      <c r="A57" s="55"/>
      <c r="B57" s="55"/>
      <c r="C57" s="55"/>
      <c r="D57" s="55"/>
      <c r="E57" s="55"/>
      <c r="F57" s="55"/>
      <c r="G57" s="87"/>
      <c r="H57" s="8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24" activeCellId="0" sqref="C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52" width="2.55"/>
    <col collapsed="false" customWidth="true" hidden="false" outlineLevel="0" max="2" min="2" style="52" width="29.66"/>
    <col collapsed="false" customWidth="true" hidden="false" outlineLevel="0" max="3" min="3" style="52" width="33.94"/>
    <col collapsed="false" customWidth="true" hidden="false" outlineLevel="0" max="5" min="4" style="52" width="10"/>
    <col collapsed="false" customWidth="true" hidden="false" outlineLevel="0" max="6" min="6" style="52" width="36"/>
    <col collapsed="false" customWidth="true" hidden="false" outlineLevel="0" max="7" min="7" style="0" width="3.89"/>
    <col collapsed="false" customWidth="true" hidden="false" outlineLevel="0" max="8" min="8" style="0" width="2.55"/>
  </cols>
  <sheetData>
    <row r="1" customFormat="false" ht="15" hidden="false" customHeight="false" outlineLevel="0" collapsed="false">
      <c r="A1" s="55"/>
      <c r="B1" s="55"/>
      <c r="C1" s="55"/>
      <c r="D1" s="55"/>
      <c r="E1" s="55"/>
      <c r="F1" s="55"/>
      <c r="G1" s="87"/>
      <c r="H1" s="87"/>
    </row>
    <row r="2" customFormat="false" ht="16.15" hidden="false" customHeight="false" outlineLevel="0" collapsed="false">
      <c r="A2" s="55"/>
      <c r="B2" s="88" t="s">
        <v>293</v>
      </c>
      <c r="C2" s="55"/>
      <c r="D2" s="55"/>
      <c r="E2" s="55"/>
      <c r="F2" s="55"/>
      <c r="G2" s="87"/>
      <c r="H2" s="87"/>
    </row>
    <row r="3" customFormat="false" ht="15" hidden="false" customHeight="false" outlineLevel="0" collapsed="false">
      <c r="A3" s="55"/>
      <c r="B3" s="89" t="s">
        <v>294</v>
      </c>
      <c r="C3" s="55"/>
      <c r="D3" s="55"/>
      <c r="E3" s="55"/>
      <c r="F3" s="55"/>
      <c r="G3" s="87"/>
      <c r="H3" s="87"/>
    </row>
    <row r="4" customFormat="false" ht="15" hidden="false" customHeight="false" outlineLevel="0" collapsed="false">
      <c r="A4" s="55"/>
      <c r="B4" s="90" t="s">
        <v>2</v>
      </c>
      <c r="C4" s="55"/>
      <c r="D4" s="55"/>
      <c r="E4" s="55"/>
      <c r="F4" s="55"/>
      <c r="G4" s="87"/>
      <c r="H4" s="87"/>
    </row>
    <row r="5" customFormat="false" ht="15" hidden="false" customHeight="false" outlineLevel="0" collapsed="false">
      <c r="A5" s="55"/>
      <c r="B5" s="55"/>
      <c r="C5" s="55"/>
      <c r="D5" s="55"/>
      <c r="E5" s="55"/>
      <c r="F5" s="55"/>
      <c r="G5" s="87"/>
      <c r="H5" s="87"/>
    </row>
    <row r="6" s="96" customFormat="true" ht="15" hidden="false" customHeight="false" outlineLevel="0" collapsed="false">
      <c r="A6" s="92"/>
      <c r="B6" s="93" t="s">
        <v>231</v>
      </c>
      <c r="C6" s="94"/>
      <c r="D6" s="94"/>
      <c r="E6" s="92"/>
      <c r="F6" s="92"/>
      <c r="G6" s="95"/>
      <c r="H6" s="95"/>
    </row>
    <row r="7" s="96" customFormat="true" ht="15" hidden="false" customHeight="false" outlineLevel="0" collapsed="false">
      <c r="A7" s="92"/>
      <c r="B7" s="93" t="s">
        <v>230</v>
      </c>
      <c r="C7" s="94"/>
      <c r="D7" s="94"/>
      <c r="E7" s="92"/>
      <c r="F7" s="92"/>
      <c r="G7" s="95"/>
      <c r="H7" s="95"/>
    </row>
    <row r="8" s="96" customFormat="true" ht="15" hidden="false" customHeight="false" outlineLevel="0" collapsed="false">
      <c r="A8" s="92"/>
      <c r="B8" s="93" t="s">
        <v>232</v>
      </c>
      <c r="C8" s="94"/>
      <c r="D8" s="94"/>
      <c r="E8" s="92"/>
      <c r="F8" s="92"/>
      <c r="G8" s="95"/>
      <c r="H8" s="95"/>
    </row>
    <row r="9" s="96" customFormat="true" ht="15" hidden="false" customHeight="false" outlineLevel="0" collapsed="false">
      <c r="A9" s="92"/>
      <c r="B9" s="93" t="s">
        <v>233</v>
      </c>
      <c r="C9" s="94"/>
      <c r="D9" s="94"/>
      <c r="E9" s="92"/>
      <c r="F9" s="92"/>
      <c r="G9" s="95"/>
      <c r="H9" s="95"/>
    </row>
    <row r="10" s="96" customFormat="true" ht="15" hidden="false" customHeight="false" outlineLevel="0" collapsed="false">
      <c r="A10" s="92"/>
      <c r="B10" s="93" t="s">
        <v>234</v>
      </c>
      <c r="C10" s="94"/>
      <c r="D10" s="94"/>
      <c r="E10" s="92"/>
      <c r="F10" s="92"/>
      <c r="G10" s="95"/>
      <c r="H10" s="95"/>
    </row>
    <row r="11" s="96" customFormat="true" ht="15" hidden="false" customHeight="false" outlineLevel="0" collapsed="false">
      <c r="A11" s="92"/>
      <c r="B11" s="93" t="s">
        <v>233</v>
      </c>
      <c r="C11" s="94"/>
      <c r="D11" s="94"/>
      <c r="E11" s="92"/>
      <c r="F11" s="92"/>
      <c r="G11" s="95"/>
      <c r="H11" s="95"/>
    </row>
    <row r="12" s="96" customFormat="true" ht="15" hidden="false" customHeight="false" outlineLevel="0" collapsed="false">
      <c r="A12" s="92"/>
      <c r="B12" s="93" t="s">
        <v>235</v>
      </c>
      <c r="C12" s="94"/>
      <c r="D12" s="94"/>
      <c r="E12" s="92"/>
      <c r="F12" s="92"/>
      <c r="G12" s="95"/>
      <c r="H12" s="95"/>
    </row>
    <row r="13" s="96" customFormat="true" ht="15" hidden="false" customHeight="false" outlineLevel="0" collapsed="false">
      <c r="A13" s="92"/>
      <c r="B13" s="93" t="s">
        <v>236</v>
      </c>
      <c r="C13" s="94"/>
      <c r="D13" s="94"/>
      <c r="E13" s="92"/>
      <c r="F13" s="92"/>
      <c r="G13" s="95"/>
      <c r="H13" s="95"/>
    </row>
    <row r="14" s="96" customFormat="true" ht="15" hidden="false" customHeight="false" outlineLevel="0" collapsed="false">
      <c r="A14" s="92"/>
      <c r="B14" s="93" t="s">
        <v>237</v>
      </c>
      <c r="C14" s="94"/>
      <c r="D14" s="94"/>
      <c r="E14" s="92"/>
      <c r="F14" s="92"/>
      <c r="G14" s="95"/>
      <c r="H14" s="95"/>
    </row>
    <row r="15" s="96" customFormat="true" ht="15" hidden="false" customHeight="false" outlineLevel="0" collapsed="false">
      <c r="A15" s="92"/>
      <c r="B15" s="93" t="s">
        <v>236</v>
      </c>
      <c r="C15" s="94"/>
      <c r="D15" s="94"/>
      <c r="E15" s="92"/>
      <c r="F15" s="92"/>
      <c r="G15" s="95"/>
      <c r="H15" s="95"/>
    </row>
    <row r="16" s="96" customFormat="true" ht="15" hidden="false" customHeight="false" outlineLevel="0" collapsed="false">
      <c r="A16" s="92"/>
      <c r="B16" s="93" t="s">
        <v>238</v>
      </c>
      <c r="C16" s="94"/>
      <c r="D16" s="94"/>
      <c r="E16" s="92"/>
      <c r="F16" s="92"/>
      <c r="G16" s="95"/>
      <c r="H16" s="95"/>
    </row>
    <row r="17" s="96" customFormat="true" ht="15" hidden="false" customHeight="false" outlineLevel="0" collapsed="false">
      <c r="A17" s="92"/>
      <c r="B17" s="93"/>
      <c r="C17" s="94"/>
      <c r="D17" s="94"/>
      <c r="E17" s="92"/>
      <c r="F17" s="92"/>
      <c r="G17" s="95"/>
      <c r="H17" s="95"/>
    </row>
    <row r="18" s="96" customFormat="true" ht="15" hidden="false" customHeight="false" outlineLevel="0" collapsed="false">
      <c r="A18" s="92"/>
      <c r="B18" s="93"/>
      <c r="C18" s="94"/>
      <c r="D18" s="94"/>
      <c r="E18" s="92"/>
      <c r="F18" s="92"/>
      <c r="G18" s="95"/>
      <c r="H18" s="95"/>
    </row>
    <row r="19" s="96" customFormat="true" ht="15" hidden="false" customHeight="false" outlineLevel="0" collapsed="false">
      <c r="A19" s="92"/>
      <c r="B19" s="93" t="s">
        <v>295</v>
      </c>
      <c r="C19" s="94"/>
      <c r="D19" s="94"/>
      <c r="E19" s="92"/>
      <c r="F19" s="92"/>
      <c r="G19" s="95"/>
      <c r="H19" s="95"/>
    </row>
    <row r="20" s="96" customFormat="true" ht="15" hidden="false" customHeight="false" outlineLevel="0" collapsed="false">
      <c r="A20" s="92"/>
      <c r="B20" s="93" t="s">
        <v>296</v>
      </c>
      <c r="C20" s="94"/>
      <c r="D20" s="94"/>
      <c r="E20" s="92"/>
      <c r="F20" s="92"/>
      <c r="G20" s="95"/>
      <c r="H20" s="95"/>
    </row>
    <row r="21" s="96" customFormat="true" ht="15" hidden="false" customHeight="false" outlineLevel="0" collapsed="false">
      <c r="A21" s="92"/>
      <c r="B21" s="93" t="s">
        <v>297</v>
      </c>
      <c r="C21" s="94"/>
      <c r="D21" s="94"/>
      <c r="E21" s="92"/>
      <c r="F21" s="92"/>
      <c r="G21" s="95"/>
      <c r="H21" s="95"/>
    </row>
    <row r="22" s="96" customFormat="true" ht="15" hidden="false" customHeight="false" outlineLevel="0" collapsed="false">
      <c r="A22" s="92"/>
      <c r="B22" s="93" t="s">
        <v>298</v>
      </c>
      <c r="C22" s="94"/>
      <c r="D22" s="94"/>
      <c r="E22" s="92"/>
      <c r="F22" s="92"/>
      <c r="G22" s="95"/>
      <c r="H22" s="95"/>
    </row>
    <row r="23" s="96" customFormat="true" ht="15" hidden="false" customHeight="false" outlineLevel="0" collapsed="false">
      <c r="A23" s="92"/>
      <c r="B23" s="93" t="s">
        <v>299</v>
      </c>
      <c r="C23" s="94"/>
      <c r="D23" s="94"/>
      <c r="E23" s="92"/>
      <c r="F23" s="92"/>
      <c r="G23" s="95"/>
      <c r="H23" s="95"/>
    </row>
    <row r="24" s="96" customFormat="true" ht="15" hidden="false" customHeight="false" outlineLevel="0" collapsed="false">
      <c r="A24" s="92"/>
      <c r="B24" s="93" t="s">
        <v>300</v>
      </c>
      <c r="C24" s="94"/>
      <c r="D24" s="94"/>
      <c r="E24" s="92"/>
      <c r="F24" s="92"/>
      <c r="G24" s="95"/>
      <c r="H24" s="95"/>
    </row>
    <row r="25" s="96" customFormat="true" ht="15" hidden="false" customHeight="false" outlineLevel="0" collapsed="false">
      <c r="A25" s="92"/>
      <c r="B25" s="93" t="s">
        <v>301</v>
      </c>
      <c r="C25" s="94"/>
      <c r="D25" s="94"/>
      <c r="E25" s="92"/>
      <c r="F25" s="92"/>
      <c r="G25" s="95"/>
      <c r="H25" s="95"/>
    </row>
    <row r="26" s="96" customFormat="true" ht="15" hidden="false" customHeight="false" outlineLevel="0" collapsed="false">
      <c r="A26" s="92"/>
      <c r="B26" s="93" t="s">
        <v>302</v>
      </c>
      <c r="C26" s="94"/>
      <c r="D26" s="94"/>
      <c r="E26" s="92"/>
      <c r="F26" s="92"/>
      <c r="G26" s="95"/>
      <c r="H26" s="95"/>
    </row>
    <row r="27" customFormat="false" ht="15" hidden="false" customHeight="false" outlineLevel="0" collapsed="false">
      <c r="A27" s="55"/>
      <c r="B27" s="91"/>
      <c r="C27" s="55"/>
      <c r="D27" s="55"/>
      <c r="E27" s="55"/>
      <c r="F27" s="55"/>
      <c r="G27" s="87"/>
      <c r="H27" s="87"/>
    </row>
    <row r="28" customFormat="false" ht="15" hidden="false" customHeight="false" outlineLevel="0" collapsed="false">
      <c r="A28" s="55"/>
      <c r="B28" s="91" t="s">
        <v>303</v>
      </c>
      <c r="C28" s="55"/>
      <c r="D28" s="55"/>
      <c r="E28" s="55"/>
      <c r="F28" s="55"/>
      <c r="G28" s="87"/>
      <c r="H28" s="87"/>
    </row>
    <row r="29" customFormat="false" ht="15" hidden="false" customHeight="false" outlineLevel="0" collapsed="false">
      <c r="A29" s="55"/>
      <c r="B29" s="97" t="s">
        <v>304</v>
      </c>
      <c r="C29" s="75"/>
      <c r="D29" s="75"/>
      <c r="E29" s="75"/>
      <c r="F29" s="75"/>
      <c r="G29" s="87"/>
      <c r="H29" s="87"/>
    </row>
    <row r="30" customFormat="false" ht="15" hidden="false" customHeight="false" outlineLevel="0" collapsed="false">
      <c r="A30" s="55"/>
      <c r="B30" s="97" t="s">
        <v>305</v>
      </c>
      <c r="C30" s="75"/>
      <c r="D30" s="75"/>
      <c r="E30" s="75"/>
      <c r="F30" s="75"/>
      <c r="G30" s="87"/>
      <c r="H30" s="87"/>
    </row>
    <row r="31" customFormat="false" ht="15" hidden="false" customHeight="false" outlineLevel="0" collapsed="false">
      <c r="A31" s="55"/>
      <c r="B31" s="97" t="s">
        <v>306</v>
      </c>
      <c r="C31" s="75"/>
      <c r="D31" s="75"/>
      <c r="E31" s="75"/>
      <c r="F31" s="75"/>
      <c r="G31" s="87"/>
      <c r="H31" s="87"/>
    </row>
    <row r="32" customFormat="false" ht="15" hidden="false" customHeight="false" outlineLevel="0" collapsed="false">
      <c r="A32" s="55"/>
      <c r="B32" s="97" t="s">
        <v>307</v>
      </c>
      <c r="C32" s="75"/>
      <c r="D32" s="75"/>
      <c r="E32" s="75"/>
      <c r="F32" s="75"/>
      <c r="G32" s="87"/>
      <c r="H32" s="87"/>
    </row>
    <row r="33" customFormat="false" ht="15" hidden="false" customHeight="false" outlineLevel="0" collapsed="false">
      <c r="A33" s="55"/>
      <c r="B33" s="97" t="s">
        <v>308</v>
      </c>
      <c r="C33" s="75"/>
      <c r="D33" s="75"/>
      <c r="E33" s="75"/>
      <c r="F33" s="75"/>
      <c r="G33" s="87"/>
      <c r="H33" s="87"/>
    </row>
    <row r="34" customFormat="false" ht="15" hidden="false" customHeight="false" outlineLevel="0" collapsed="false">
      <c r="A34" s="55"/>
      <c r="B34" s="97" t="s">
        <v>309</v>
      </c>
      <c r="C34" s="75"/>
      <c r="D34" s="75"/>
      <c r="E34" s="75"/>
      <c r="F34" s="75"/>
      <c r="G34" s="87"/>
      <c r="H34" s="87"/>
    </row>
    <row r="35" customFormat="false" ht="15" hidden="false" customHeight="false" outlineLevel="0" collapsed="false">
      <c r="A35" s="55"/>
      <c r="B35" s="97" t="s">
        <v>310</v>
      </c>
      <c r="C35" s="75"/>
      <c r="D35" s="75"/>
      <c r="E35" s="75"/>
      <c r="F35" s="75"/>
      <c r="G35" s="87"/>
      <c r="H35" s="87"/>
    </row>
    <row r="36" customFormat="false" ht="15" hidden="false" customHeight="false" outlineLevel="0" collapsed="false">
      <c r="A36" s="55"/>
      <c r="B36" s="97" t="s">
        <v>311</v>
      </c>
      <c r="C36" s="75"/>
      <c r="D36" s="75"/>
      <c r="E36" s="75"/>
      <c r="F36" s="75"/>
      <c r="G36" s="87"/>
      <c r="H36" s="87"/>
    </row>
    <row r="37" customFormat="false" ht="15" hidden="false" customHeight="false" outlineLevel="0" collapsed="false">
      <c r="A37" s="55"/>
      <c r="B37" s="97" t="s">
        <v>312</v>
      </c>
      <c r="C37" s="75"/>
      <c r="D37" s="75"/>
      <c r="E37" s="75"/>
      <c r="F37" s="75"/>
      <c r="G37" s="87"/>
      <c r="H37" s="87"/>
    </row>
    <row r="38" s="106" customFormat="true" ht="15" hidden="false" customHeight="false" outlineLevel="0" collapsed="false">
      <c r="A38" s="75"/>
      <c r="B38" s="75"/>
      <c r="C38" s="75"/>
      <c r="D38" s="75"/>
      <c r="E38" s="75"/>
      <c r="F38" s="75"/>
      <c r="G38" s="105"/>
      <c r="H38" s="105"/>
    </row>
    <row r="39" s="106" customFormat="true" ht="15" hidden="false" customHeight="false" outlineLevel="0" collapsed="false">
      <c r="A39" s="75"/>
      <c r="B39" s="98" t="s">
        <v>255</v>
      </c>
      <c r="C39" s="75"/>
      <c r="D39" s="75"/>
      <c r="E39" s="75"/>
      <c r="F39" s="75"/>
      <c r="G39" s="105"/>
      <c r="H39" s="105"/>
    </row>
    <row r="40" s="106" customFormat="true" ht="15" hidden="false" customHeight="false" outlineLevel="0" collapsed="false">
      <c r="A40" s="75"/>
      <c r="B40" s="100" t="s">
        <v>256</v>
      </c>
      <c r="C40" s="100" t="s">
        <v>257</v>
      </c>
      <c r="D40" s="100" t="s">
        <v>60</v>
      </c>
      <c r="E40" s="100" t="s">
        <v>10</v>
      </c>
      <c r="F40" s="100" t="s">
        <v>258</v>
      </c>
      <c r="G40" s="107"/>
      <c r="H40" s="105"/>
    </row>
    <row r="41" s="106" customFormat="true" ht="15" hidden="false" customHeight="false" outlineLevel="0" collapsed="false">
      <c r="A41" s="75"/>
      <c r="B41" s="98" t="s">
        <v>259</v>
      </c>
      <c r="C41" s="102" t="s">
        <v>260</v>
      </c>
      <c r="D41" s="103" t="str">
        <f aca="false">'Class-E Calculator'!E55</f>
        <v>018 µH</v>
      </c>
      <c r="E41" s="102" t="s">
        <v>70</v>
      </c>
      <c r="F41" s="102" t="s">
        <v>261</v>
      </c>
      <c r="G41" s="105"/>
      <c r="H41" s="105"/>
    </row>
    <row r="42" s="106" customFormat="true" ht="15" hidden="false" customHeight="false" outlineLevel="0" collapsed="false">
      <c r="A42" s="75"/>
      <c r="B42" s="98" t="s">
        <v>262</v>
      </c>
      <c r="C42" s="102" t="s">
        <v>263</v>
      </c>
      <c r="D42" s="103" t="str">
        <f aca="false">'Class-E Calculator'!E49</f>
        <v>075 pF</v>
      </c>
      <c r="E42" s="102" t="s">
        <v>30</v>
      </c>
      <c r="F42" s="102" t="s">
        <v>264</v>
      </c>
      <c r="G42" s="105"/>
      <c r="H42" s="105"/>
    </row>
    <row r="43" s="106" customFormat="true" ht="15" hidden="false" customHeight="false" outlineLevel="0" collapsed="false">
      <c r="A43" s="75"/>
      <c r="B43" s="98" t="s">
        <v>265</v>
      </c>
      <c r="C43" s="102" t="s">
        <v>266</v>
      </c>
      <c r="D43" s="103" t="str">
        <f aca="false">'Class-E Calculator'!E51</f>
        <v>02 µH</v>
      </c>
      <c r="E43" s="102" t="s">
        <v>70</v>
      </c>
      <c r="F43" s="102" t="s">
        <v>267</v>
      </c>
      <c r="G43" s="105"/>
      <c r="H43" s="105"/>
    </row>
    <row r="44" s="106" customFormat="true" ht="15" hidden="false" customHeight="false" outlineLevel="0" collapsed="false">
      <c r="A44" s="75"/>
      <c r="B44" s="98" t="s">
        <v>268</v>
      </c>
      <c r="C44" s="102" t="s">
        <v>269</v>
      </c>
      <c r="D44" s="103" t="str">
        <f aca="false">'Class-E Calculator'!E53</f>
        <v>091 pF</v>
      </c>
      <c r="E44" s="102" t="s">
        <v>30</v>
      </c>
      <c r="F44" s="102" t="s">
        <v>270</v>
      </c>
      <c r="G44" s="105"/>
      <c r="H44" s="105"/>
    </row>
    <row r="45" s="106" customFormat="true" ht="15" hidden="false" customHeight="false" outlineLevel="0" collapsed="false">
      <c r="A45" s="75"/>
      <c r="B45" s="98" t="s">
        <v>271</v>
      </c>
      <c r="C45" s="102" t="s">
        <v>272</v>
      </c>
      <c r="D45" s="103" t="str">
        <f aca="false">'LPF Direct 7-pole'!E29</f>
        <v>0 µH</v>
      </c>
      <c r="E45" s="102" t="s">
        <v>70</v>
      </c>
      <c r="F45" s="102" t="s">
        <v>313</v>
      </c>
      <c r="G45" s="105"/>
      <c r="H45" s="105"/>
    </row>
    <row r="46" s="106" customFormat="true" ht="15" hidden="false" customHeight="false" outlineLevel="0" collapsed="false">
      <c r="A46" s="75"/>
      <c r="B46" s="98" t="s">
        <v>274</v>
      </c>
      <c r="C46" s="102" t="s">
        <v>275</v>
      </c>
      <c r="D46" s="103" t="str">
        <f aca="false">'LPF Direct 7-pole'!E31</f>
        <v>360 pF</v>
      </c>
      <c r="E46" s="102" t="s">
        <v>30</v>
      </c>
      <c r="F46" s="102" t="s">
        <v>314</v>
      </c>
      <c r="G46" s="105"/>
      <c r="H46" s="105"/>
    </row>
    <row r="47" s="106" customFormat="true" ht="15" hidden="false" customHeight="false" outlineLevel="0" collapsed="false">
      <c r="A47" s="75"/>
      <c r="B47" s="98" t="s">
        <v>277</v>
      </c>
      <c r="C47" s="102" t="s">
        <v>315</v>
      </c>
      <c r="D47" s="103" t="str">
        <f aca="false">'LPF Direct 7-pole'!E33</f>
        <v>01 µH</v>
      </c>
      <c r="E47" s="102" t="s">
        <v>70</v>
      </c>
      <c r="F47" s="102" t="s">
        <v>316</v>
      </c>
      <c r="G47" s="105"/>
      <c r="H47" s="105"/>
    </row>
    <row r="48" s="106" customFormat="true" ht="15" hidden="false" customHeight="false" outlineLevel="0" collapsed="false">
      <c r="A48" s="75"/>
      <c r="B48" s="98" t="s">
        <v>280</v>
      </c>
      <c r="C48" s="102" t="s">
        <v>317</v>
      </c>
      <c r="D48" s="103" t="str">
        <f aca="false">'LPF Direct 7-pole'!E35</f>
        <v>330 pF</v>
      </c>
      <c r="E48" s="102" t="s">
        <v>30</v>
      </c>
      <c r="F48" s="102" t="s">
        <v>318</v>
      </c>
      <c r="G48" s="105"/>
      <c r="H48" s="105"/>
    </row>
    <row r="49" s="106" customFormat="true" ht="15" hidden="false" customHeight="false" outlineLevel="0" collapsed="false">
      <c r="A49" s="75"/>
      <c r="B49" s="98" t="s">
        <v>283</v>
      </c>
      <c r="C49" s="102" t="s">
        <v>319</v>
      </c>
      <c r="D49" s="103" t="str">
        <f aca="false">'LPF Direct 7-pole'!E37</f>
        <v>01 µH</v>
      </c>
      <c r="E49" s="102" t="s">
        <v>70</v>
      </c>
      <c r="F49" s="102" t="s">
        <v>320</v>
      </c>
      <c r="G49" s="105"/>
      <c r="H49" s="105"/>
    </row>
    <row r="50" s="106" customFormat="true" ht="15" hidden="false" customHeight="false" outlineLevel="0" collapsed="false">
      <c r="A50" s="75"/>
      <c r="B50" s="98" t="s">
        <v>321</v>
      </c>
      <c r="C50" s="102" t="s">
        <v>281</v>
      </c>
      <c r="D50" s="103" t="str">
        <f aca="false">'LPF Direct 7-pole'!E39</f>
        <v>240 pF</v>
      </c>
      <c r="E50" s="102" t="s">
        <v>30</v>
      </c>
      <c r="F50" s="102" t="s">
        <v>322</v>
      </c>
      <c r="G50" s="105"/>
      <c r="H50" s="105"/>
    </row>
    <row r="51" s="106" customFormat="true" ht="15" hidden="false" customHeight="false" outlineLevel="0" collapsed="false">
      <c r="A51" s="75"/>
      <c r="B51" s="98" t="s">
        <v>323</v>
      </c>
      <c r="C51" s="102" t="s">
        <v>284</v>
      </c>
      <c r="D51" s="103" t="str">
        <f aca="false">'LPF Direct 7-pole'!E41</f>
        <v>0 µH</v>
      </c>
      <c r="E51" s="102" t="s">
        <v>70</v>
      </c>
      <c r="F51" s="102" t="s">
        <v>324</v>
      </c>
      <c r="G51" s="105"/>
      <c r="H51" s="105"/>
    </row>
    <row r="52" s="106" customFormat="true" ht="15" hidden="false" customHeight="false" outlineLevel="0" collapsed="false">
      <c r="A52" s="75"/>
      <c r="B52" s="99"/>
      <c r="C52" s="99"/>
      <c r="D52" s="99"/>
      <c r="E52" s="99"/>
      <c r="F52" s="99"/>
      <c r="G52" s="105"/>
      <c r="H52" s="105"/>
    </row>
    <row r="53" s="106" customFormat="true" ht="15" hidden="false" customHeight="false" outlineLevel="0" collapsed="false">
      <c r="A53" s="75"/>
      <c r="B53" s="98" t="s">
        <v>286</v>
      </c>
      <c r="C53" s="99"/>
      <c r="D53" s="99"/>
      <c r="E53" s="99"/>
      <c r="F53" s="99"/>
      <c r="G53" s="105"/>
      <c r="H53" s="105"/>
    </row>
    <row r="54" s="106" customFormat="true" ht="15" hidden="false" customHeight="false" outlineLevel="0" collapsed="false">
      <c r="A54" s="75"/>
      <c r="B54" s="98" t="s">
        <v>175</v>
      </c>
      <c r="C54" s="103" t="n">
        <f aca="false">'Class-E Calculator'!C18</f>
        <v>14</v>
      </c>
      <c r="D54" s="102" t="s">
        <v>16</v>
      </c>
      <c r="E54" s="99"/>
      <c r="F54" s="99"/>
      <c r="G54" s="105"/>
      <c r="H54" s="105"/>
    </row>
    <row r="55" s="106" customFormat="true" ht="15" hidden="false" customHeight="false" outlineLevel="0" collapsed="false">
      <c r="A55" s="75"/>
      <c r="B55" s="98" t="s">
        <v>287</v>
      </c>
      <c r="C55" s="104" t="n">
        <f aca="false">'Class-E Calculator'!C42</f>
        <v>32.289222500631</v>
      </c>
      <c r="D55" s="102" t="s">
        <v>22</v>
      </c>
      <c r="E55" s="99"/>
      <c r="F55" s="99"/>
      <c r="G55" s="105"/>
      <c r="H55" s="105"/>
    </row>
    <row r="56" s="106" customFormat="true" ht="15" hidden="false" customHeight="false" outlineLevel="0" collapsed="false">
      <c r="A56" s="75"/>
      <c r="B56" s="98" t="s">
        <v>288</v>
      </c>
      <c r="C56" s="103" t="n">
        <f aca="false">'Class-E Calculator'!C16</f>
        <v>5</v>
      </c>
      <c r="D56" s="102" t="s">
        <v>12</v>
      </c>
      <c r="E56" s="99"/>
      <c r="F56" s="99"/>
      <c r="G56" s="105"/>
      <c r="H56" s="105"/>
    </row>
    <row r="57" s="106" customFormat="true" ht="15" hidden="false" customHeight="false" outlineLevel="0" collapsed="false">
      <c r="A57" s="75"/>
      <c r="B57" s="98" t="s">
        <v>289</v>
      </c>
      <c r="C57" s="103" t="n">
        <f aca="false">'Class-E Calculator'!C17</f>
        <v>0.4</v>
      </c>
      <c r="D57" s="102" t="s">
        <v>14</v>
      </c>
      <c r="E57" s="99"/>
      <c r="F57" s="99"/>
      <c r="G57" s="105"/>
      <c r="H57" s="105"/>
    </row>
    <row r="58" s="106" customFormat="true" ht="15" hidden="false" customHeight="false" outlineLevel="0" collapsed="false">
      <c r="A58" s="75"/>
      <c r="B58" s="98" t="s">
        <v>290</v>
      </c>
      <c r="C58" s="104" t="n">
        <f aca="false">'LPF Direct 7-pole'!C19</f>
        <v>19.6</v>
      </c>
      <c r="D58" s="102" t="s">
        <v>16</v>
      </c>
      <c r="E58" s="99"/>
      <c r="F58" s="99"/>
      <c r="G58" s="105"/>
      <c r="H58" s="105"/>
    </row>
    <row r="59" s="106" customFormat="true" ht="15" hidden="false" customHeight="false" outlineLevel="0" collapsed="false">
      <c r="A59" s="75"/>
      <c r="B59" s="98" t="s">
        <v>291</v>
      </c>
      <c r="C59" s="104" t="n">
        <f aca="false">'LPF Direct 7-pole'!C45</f>
        <v>-32.0640508287318</v>
      </c>
      <c r="D59" s="102" t="s">
        <v>155</v>
      </c>
      <c r="E59" s="99"/>
      <c r="F59" s="99"/>
      <c r="G59" s="105"/>
      <c r="H59" s="105"/>
    </row>
    <row r="60" s="106" customFormat="true" ht="15" hidden="false" customHeight="false" outlineLevel="0" collapsed="false">
      <c r="A60" s="75"/>
      <c r="B60" s="98" t="s">
        <v>292</v>
      </c>
      <c r="C60" s="104" t="n">
        <f aca="false">'LPF Direct 7-pole'!C46</f>
        <v>-62.4728499132733</v>
      </c>
      <c r="D60" s="102" t="s">
        <v>155</v>
      </c>
      <c r="E60" s="99"/>
      <c r="F60" s="99"/>
      <c r="G60" s="105"/>
      <c r="H60" s="105"/>
    </row>
    <row r="61" customFormat="false" ht="15" hidden="false" customHeight="false" outlineLevel="0" collapsed="false">
      <c r="A61" s="55"/>
      <c r="B61" s="99"/>
      <c r="C61" s="99"/>
      <c r="D61" s="99"/>
      <c r="E61" s="99"/>
      <c r="F61" s="99"/>
      <c r="G61" s="87"/>
      <c r="H61" s="8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L26" activeCellId="0" sqref="L26"/>
    </sheetView>
  </sheetViews>
  <sheetFormatPr defaultColWidth="8.640625" defaultRowHeight="15" customHeight="false" zeroHeight="false" outlineLevelRow="0" outlineLevelCol="0"/>
  <cols>
    <col collapsed="false" customWidth="true" hidden="false" outlineLevel="0" max="1" min="1" style="74" width="11.73"/>
    <col collapsed="false" customWidth="true" hidden="false" outlineLevel="0" max="2" min="2" style="74" width="9.18"/>
    <col collapsed="false" customWidth="true" hidden="false" outlineLevel="0" max="3" min="3" style="74" width="8.99"/>
    <col collapsed="false" customWidth="true" hidden="false" outlineLevel="0" max="4" min="4" style="74" width="4.33"/>
    <col collapsed="false" customWidth="true" hidden="false" outlineLevel="0" max="5" min="5" style="74" width="9.91"/>
    <col collapsed="false" customWidth="true" hidden="false" outlineLevel="0" max="6" min="6" style="74" width="9.19"/>
    <col collapsed="false" customWidth="false" hidden="false" outlineLevel="0" max="7" min="7" style="74" width="8.65"/>
    <col collapsed="false" customWidth="true" hidden="false" outlineLevel="0" max="8" min="8" style="74" width="5.32"/>
    <col collapsed="false" customWidth="true" hidden="false" outlineLevel="0" max="9" min="9" style="74" width="10.06"/>
    <col collapsed="false" customWidth="true" hidden="false" outlineLevel="0" max="10" min="10" style="74" width="11.71"/>
    <col collapsed="false" customWidth="true" hidden="false" outlineLevel="0" max="11" min="11" style="74" width="17.88"/>
    <col collapsed="false" customWidth="true" hidden="false" outlineLevel="0" max="12" min="12" style="74" width="40.06"/>
    <col collapsed="false" customWidth="true" hidden="false" outlineLevel="0" max="13" min="13" style="74" width="8.58"/>
    <col collapsed="false" customWidth="true" hidden="false" outlineLevel="0" max="14" min="14" style="74" width="10.59"/>
    <col collapsed="false" customWidth="true" hidden="false" outlineLevel="0" max="15" min="15" style="74" width="31.16"/>
    <col collapsed="false" customWidth="true" hidden="false" outlineLevel="0" max="16" min="16" style="74" width="11.53"/>
    <col collapsed="false" customWidth="true" hidden="false" outlineLevel="0" max="17" min="17" style="74" width="10.97"/>
    <col collapsed="false" customWidth="false" hidden="false" outlineLevel="0" max="257" min="18" style="74" width="8.64"/>
  </cols>
  <sheetData>
    <row r="1" customFormat="false" ht="15" hidden="false" customHeight="false" outlineLevel="0" collapsed="false">
      <c r="A1" s="108" t="s">
        <v>325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75"/>
      <c r="N1" s="75"/>
      <c r="O1" s="75"/>
      <c r="P1" s="75"/>
      <c r="Q1" s="75"/>
    </row>
    <row r="2" customFormat="false" ht="15" hidden="false" customHeight="false" outlineLevel="0" collapsed="false">
      <c r="A2" s="110" t="str">
        <f aca="false">IF(COUNTA(A3:Q3)=17,"✅ Table header: 17 columns (A–Q) verified","⚠ Column count mismatch — VLOOKUP indices may be wrong")</f>
        <v>✅ Table header: 17 columns (A–Q) verified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75"/>
      <c r="N2" s="75"/>
      <c r="O2" s="75"/>
      <c r="P2" s="75"/>
      <c r="Q2" s="75"/>
    </row>
    <row r="3" s="117" customFormat="true" ht="28.85" hidden="false" customHeight="false" outlineLevel="0" collapsed="false">
      <c r="A3" s="112" t="s">
        <v>326</v>
      </c>
      <c r="B3" s="112" t="s">
        <v>327</v>
      </c>
      <c r="C3" s="113" t="s">
        <v>328</v>
      </c>
      <c r="D3" s="113" t="s">
        <v>329</v>
      </c>
      <c r="E3" s="113" t="s">
        <v>330</v>
      </c>
      <c r="F3" s="113" t="s">
        <v>331</v>
      </c>
      <c r="G3" s="113" t="s">
        <v>332</v>
      </c>
      <c r="H3" s="113" t="s">
        <v>333</v>
      </c>
      <c r="I3" s="113" t="s">
        <v>334</v>
      </c>
      <c r="J3" s="113" t="s">
        <v>335</v>
      </c>
      <c r="K3" s="113" t="s">
        <v>336</v>
      </c>
      <c r="L3" s="112" t="s">
        <v>337</v>
      </c>
      <c r="M3" s="113" t="s">
        <v>338</v>
      </c>
      <c r="N3" s="114" t="s">
        <v>339</v>
      </c>
      <c r="O3" s="114" t="s">
        <v>340</v>
      </c>
      <c r="P3" s="80" t="s">
        <v>341</v>
      </c>
      <c r="Q3" s="115" t="s">
        <v>342</v>
      </c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</row>
    <row r="4" s="117" customFormat="true" ht="23.85" hidden="false" customHeight="false" outlineLevel="0" collapsed="false">
      <c r="A4" s="118" t="s">
        <v>5</v>
      </c>
      <c r="B4" s="118" t="s">
        <v>343</v>
      </c>
      <c r="C4" s="118" t="n">
        <v>60</v>
      </c>
      <c r="D4" s="118" t="n">
        <v>0.5</v>
      </c>
      <c r="E4" s="118" t="n">
        <v>5</v>
      </c>
      <c r="F4" s="118" t="n">
        <v>60</v>
      </c>
      <c r="G4" s="118" t="n">
        <v>12</v>
      </c>
      <c r="H4" s="118" t="n">
        <v>0.83</v>
      </c>
      <c r="I4" s="118" t="n">
        <v>300</v>
      </c>
      <c r="J4" s="118" t="s">
        <v>344</v>
      </c>
      <c r="K4" s="118" t="s">
        <v>345</v>
      </c>
      <c r="L4" s="119" t="s">
        <v>346</v>
      </c>
      <c r="M4" s="118" t="n">
        <v>150</v>
      </c>
      <c r="N4" s="120" t="s">
        <v>347</v>
      </c>
      <c r="O4" s="120" t="n">
        <v>0.4</v>
      </c>
      <c r="P4" s="121" t="s">
        <v>348</v>
      </c>
      <c r="Q4" s="121" t="n">
        <v>2.5</v>
      </c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</row>
    <row r="5" customFormat="false" ht="23.85" hidden="false" customHeight="false" outlineLevel="0" collapsed="false">
      <c r="A5" s="118" t="s">
        <v>349</v>
      </c>
      <c r="B5" s="118" t="s">
        <v>343</v>
      </c>
      <c r="C5" s="118" t="n">
        <v>60</v>
      </c>
      <c r="D5" s="118" t="n">
        <v>0.2</v>
      </c>
      <c r="E5" s="118" t="n">
        <v>5.3</v>
      </c>
      <c r="F5" s="118" t="n">
        <v>50</v>
      </c>
      <c r="G5" s="118" t="n">
        <v>10</v>
      </c>
      <c r="H5" s="118" t="n">
        <v>0.4</v>
      </c>
      <c r="I5" s="118" t="n">
        <v>200</v>
      </c>
      <c r="J5" s="118" t="s">
        <v>350</v>
      </c>
      <c r="K5" s="118" t="s">
        <v>351</v>
      </c>
      <c r="L5" s="119" t="s">
        <v>352</v>
      </c>
      <c r="M5" s="118" t="n">
        <v>150</v>
      </c>
      <c r="N5" s="120" t="s">
        <v>353</v>
      </c>
      <c r="O5" s="120" t="n">
        <v>0.4</v>
      </c>
      <c r="P5" s="121" t="s">
        <v>348</v>
      </c>
      <c r="Q5" s="121" t="n">
        <v>2.5</v>
      </c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</row>
    <row r="6" customFormat="false" ht="23.85" hidden="false" customHeight="false" outlineLevel="0" collapsed="false">
      <c r="A6" s="118" t="s">
        <v>354</v>
      </c>
      <c r="B6" s="118" t="s">
        <v>355</v>
      </c>
      <c r="C6" s="118" t="n">
        <v>100</v>
      </c>
      <c r="D6" s="118" t="n">
        <v>5.6</v>
      </c>
      <c r="E6" s="118" t="n">
        <v>0.54</v>
      </c>
      <c r="F6" s="118" t="n">
        <v>135</v>
      </c>
      <c r="G6" s="118" t="n">
        <v>100</v>
      </c>
      <c r="H6" s="118" t="n">
        <v>43</v>
      </c>
      <c r="I6" s="118" t="n">
        <v>50</v>
      </c>
      <c r="J6" s="118" t="s">
        <v>356</v>
      </c>
      <c r="K6" s="118" t="s">
        <v>357</v>
      </c>
      <c r="L6" s="119" t="s">
        <v>358</v>
      </c>
      <c r="M6" s="118" t="n">
        <v>150</v>
      </c>
      <c r="N6" s="120" t="s">
        <v>359</v>
      </c>
      <c r="O6" s="120" t="n">
        <v>0.35</v>
      </c>
      <c r="P6" s="121" t="s">
        <v>360</v>
      </c>
      <c r="Q6" s="121" t="n">
        <v>2.3</v>
      </c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</row>
    <row r="7" customFormat="false" ht="23.85" hidden="false" customHeight="false" outlineLevel="0" collapsed="false">
      <c r="A7" s="118" t="s">
        <v>361</v>
      </c>
      <c r="B7" s="118" t="s">
        <v>355</v>
      </c>
      <c r="C7" s="118" t="n">
        <v>100</v>
      </c>
      <c r="D7" s="118" t="n">
        <v>9.2</v>
      </c>
      <c r="E7" s="118" t="n">
        <v>0.27</v>
      </c>
      <c r="F7" s="118" t="n">
        <v>180</v>
      </c>
      <c r="G7" s="118" t="n">
        <v>135</v>
      </c>
      <c r="H7" s="118" t="n">
        <v>50</v>
      </c>
      <c r="I7" s="118" t="n">
        <v>50</v>
      </c>
      <c r="J7" s="118" t="s">
        <v>362</v>
      </c>
      <c r="K7" s="118" t="s">
        <v>357</v>
      </c>
      <c r="L7" s="119" t="s">
        <v>363</v>
      </c>
      <c r="M7" s="118" t="n">
        <v>150</v>
      </c>
      <c r="N7" s="120" t="s">
        <v>359</v>
      </c>
      <c r="O7" s="120" t="n">
        <v>0.35</v>
      </c>
      <c r="P7" s="121" t="s">
        <v>360</v>
      </c>
      <c r="Q7" s="121" t="n">
        <v>2.3</v>
      </c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</row>
    <row r="8" customFormat="false" ht="23.85" hidden="false" customHeight="false" outlineLevel="0" collapsed="false">
      <c r="A8" s="118" t="s">
        <v>364</v>
      </c>
      <c r="B8" s="118" t="s">
        <v>355</v>
      </c>
      <c r="C8" s="118" t="n">
        <v>100</v>
      </c>
      <c r="D8" s="118" t="n">
        <v>14</v>
      </c>
      <c r="E8" s="118" t="n">
        <v>0.18</v>
      </c>
      <c r="F8" s="118" t="n">
        <v>400</v>
      </c>
      <c r="G8" s="118" t="n">
        <v>260</v>
      </c>
      <c r="H8" s="118" t="n">
        <v>88</v>
      </c>
      <c r="I8" s="118" t="n">
        <v>50</v>
      </c>
      <c r="J8" s="118" t="s">
        <v>365</v>
      </c>
      <c r="K8" s="118" t="s">
        <v>366</v>
      </c>
      <c r="L8" s="119" t="s">
        <v>367</v>
      </c>
      <c r="M8" s="118" t="n">
        <v>150</v>
      </c>
      <c r="N8" s="120" t="s">
        <v>359</v>
      </c>
      <c r="O8" s="120" t="n">
        <v>0.35</v>
      </c>
      <c r="P8" s="121" t="s">
        <v>360</v>
      </c>
      <c r="Q8" s="121" t="n">
        <v>2.3</v>
      </c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</row>
    <row r="9" customFormat="false" ht="23.85" hidden="false" customHeight="false" outlineLevel="0" collapsed="false">
      <c r="A9" s="118" t="s">
        <v>368</v>
      </c>
      <c r="B9" s="118" t="s">
        <v>355</v>
      </c>
      <c r="C9" s="118" t="n">
        <v>100</v>
      </c>
      <c r="D9" s="118" t="n">
        <v>28</v>
      </c>
      <c r="E9" s="118" t="n">
        <v>0.077</v>
      </c>
      <c r="F9" s="118" t="n">
        <v>800</v>
      </c>
      <c r="G9" s="118" t="n">
        <v>450</v>
      </c>
      <c r="H9" s="118" t="n">
        <v>150</v>
      </c>
      <c r="I9" s="118" t="n">
        <v>40</v>
      </c>
      <c r="J9" s="118" t="s">
        <v>369</v>
      </c>
      <c r="K9" s="118" t="s">
        <v>370</v>
      </c>
      <c r="L9" s="119" t="s">
        <v>371</v>
      </c>
      <c r="M9" s="118" t="n">
        <v>150</v>
      </c>
      <c r="N9" s="120" t="s">
        <v>359</v>
      </c>
      <c r="O9" s="120" t="n">
        <v>0.35</v>
      </c>
      <c r="P9" s="121" t="s">
        <v>360</v>
      </c>
      <c r="Q9" s="121" t="n">
        <v>2.3</v>
      </c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</row>
    <row r="10" customFormat="false" ht="23.85" hidden="false" customHeight="false" outlineLevel="0" collapsed="false">
      <c r="A10" s="118" t="s">
        <v>372</v>
      </c>
      <c r="B10" s="118" t="s">
        <v>355</v>
      </c>
      <c r="C10" s="118" t="n">
        <v>55</v>
      </c>
      <c r="D10" s="118" t="n">
        <v>49</v>
      </c>
      <c r="E10" s="118" t="n">
        <v>0.028</v>
      </c>
      <c r="F10" s="118" t="n">
        <v>3050</v>
      </c>
      <c r="G10" s="118" t="n">
        <v>930</v>
      </c>
      <c r="H10" s="118" t="n">
        <v>107</v>
      </c>
      <c r="I10" s="118" t="n">
        <v>30</v>
      </c>
      <c r="J10" s="118" t="s">
        <v>373</v>
      </c>
      <c r="K10" s="118" t="s">
        <v>374</v>
      </c>
      <c r="L10" s="119" t="s">
        <v>375</v>
      </c>
      <c r="M10" s="118" t="n">
        <v>150</v>
      </c>
      <c r="N10" s="120" t="s">
        <v>359</v>
      </c>
      <c r="O10" s="120" t="n">
        <v>0.35</v>
      </c>
      <c r="P10" s="121" t="s">
        <v>360</v>
      </c>
      <c r="Q10" s="121" t="n">
        <v>2.3</v>
      </c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</row>
    <row r="11" customFormat="false" ht="23.85" hidden="false" customHeight="false" outlineLevel="0" collapsed="false">
      <c r="A11" s="118" t="s">
        <v>376</v>
      </c>
      <c r="B11" s="118" t="s">
        <v>355</v>
      </c>
      <c r="C11" s="118" t="n">
        <v>100</v>
      </c>
      <c r="D11" s="118" t="n">
        <v>13</v>
      </c>
      <c r="E11" s="118" t="n">
        <v>0.18</v>
      </c>
      <c r="F11" s="118" t="n">
        <v>1060</v>
      </c>
      <c r="G11" s="118" t="n">
        <v>380</v>
      </c>
      <c r="H11" s="118" t="n">
        <v>88</v>
      </c>
      <c r="I11" s="118" t="n">
        <v>60</v>
      </c>
      <c r="J11" s="118" t="s">
        <v>377</v>
      </c>
      <c r="K11" s="118" t="s">
        <v>366</v>
      </c>
      <c r="L11" s="119" t="s">
        <v>378</v>
      </c>
      <c r="M11" s="118" t="n">
        <v>150</v>
      </c>
      <c r="N11" s="120" t="s">
        <v>359</v>
      </c>
      <c r="O11" s="120" t="n">
        <v>0.35</v>
      </c>
      <c r="P11" s="121" t="s">
        <v>360</v>
      </c>
      <c r="Q11" s="121" t="n">
        <v>2.3</v>
      </c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</row>
    <row r="12" customFormat="false" ht="23.85" hidden="false" customHeight="false" outlineLevel="0" collapsed="false">
      <c r="A12" s="118" t="s">
        <v>379</v>
      </c>
      <c r="B12" s="118" t="s">
        <v>380</v>
      </c>
      <c r="C12" s="118" t="n">
        <v>50</v>
      </c>
      <c r="D12" s="118" t="n">
        <v>5.5</v>
      </c>
      <c r="E12" s="118" t="s">
        <v>18</v>
      </c>
      <c r="F12" s="118" t="n">
        <v>80</v>
      </c>
      <c r="G12" s="118" t="n">
        <v>15</v>
      </c>
      <c r="H12" s="118" t="n">
        <v>25</v>
      </c>
      <c r="I12" s="118" t="n">
        <v>520</v>
      </c>
      <c r="J12" s="118" t="s">
        <v>381</v>
      </c>
      <c r="K12" s="118" t="s">
        <v>382</v>
      </c>
      <c r="L12" s="119" t="s">
        <v>383</v>
      </c>
      <c r="M12" s="118" t="n">
        <v>200</v>
      </c>
      <c r="N12" s="120" t="s">
        <v>384</v>
      </c>
      <c r="O12" s="120" t="n">
        <v>0.85</v>
      </c>
      <c r="P12" s="121" t="s">
        <v>385</v>
      </c>
      <c r="Q12" s="121" t="n">
        <v>2.3</v>
      </c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</row>
    <row r="13" customFormat="false" ht="23.85" hidden="false" customHeight="false" outlineLevel="0" collapsed="false">
      <c r="A13" s="118" t="s">
        <v>386</v>
      </c>
      <c r="B13" s="118" t="s">
        <v>380</v>
      </c>
      <c r="C13" s="118" t="n">
        <v>50</v>
      </c>
      <c r="D13" s="118" t="n">
        <v>2</v>
      </c>
      <c r="E13" s="118" t="s">
        <v>18</v>
      </c>
      <c r="F13" s="118" t="n">
        <v>44</v>
      </c>
      <c r="G13" s="118" t="n">
        <v>9</v>
      </c>
      <c r="H13" s="118" t="n">
        <v>12.5</v>
      </c>
      <c r="I13" s="118" t="n">
        <v>520</v>
      </c>
      <c r="J13" s="118" t="s">
        <v>387</v>
      </c>
      <c r="K13" s="118" t="s">
        <v>382</v>
      </c>
      <c r="L13" s="119" t="s">
        <v>388</v>
      </c>
      <c r="M13" s="118" t="n">
        <v>200</v>
      </c>
      <c r="N13" s="120" t="s">
        <v>384</v>
      </c>
      <c r="O13" s="120" t="n">
        <v>0.85</v>
      </c>
      <c r="P13" s="121" t="s">
        <v>385</v>
      </c>
      <c r="Q13" s="121" t="n">
        <v>2.3</v>
      </c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</row>
    <row r="14" customFormat="false" ht="23.85" hidden="false" customHeight="false" outlineLevel="0" collapsed="false">
      <c r="A14" s="118" t="s">
        <v>389</v>
      </c>
      <c r="B14" s="118" t="s">
        <v>390</v>
      </c>
      <c r="C14" s="118" t="n">
        <v>65</v>
      </c>
      <c r="D14" s="118" t="n">
        <v>40</v>
      </c>
      <c r="E14" s="118" t="s">
        <v>18</v>
      </c>
      <c r="F14" s="118" t="n">
        <v>120</v>
      </c>
      <c r="G14" s="118" t="n">
        <v>25</v>
      </c>
      <c r="H14" s="118" t="n">
        <v>250</v>
      </c>
      <c r="I14" s="118" t="n">
        <v>600</v>
      </c>
      <c r="J14" s="118" t="s">
        <v>391</v>
      </c>
      <c r="K14" s="118" t="s">
        <v>366</v>
      </c>
      <c r="L14" s="119" t="s">
        <v>392</v>
      </c>
      <c r="M14" s="118" t="n">
        <v>200</v>
      </c>
      <c r="N14" s="120" t="s">
        <v>393</v>
      </c>
      <c r="O14" s="120" t="n">
        <v>0.85</v>
      </c>
      <c r="P14" s="121" t="s">
        <v>385</v>
      </c>
      <c r="Q14" s="121" t="n">
        <v>2.3</v>
      </c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</row>
    <row r="15" customFormat="false" ht="45.75" hidden="false" customHeight="false" outlineLevel="0" collapsed="false">
      <c r="A15" s="118" t="s">
        <v>394</v>
      </c>
      <c r="B15" s="118" t="s">
        <v>395</v>
      </c>
      <c r="C15" s="118" t="n">
        <v>500</v>
      </c>
      <c r="D15" s="118" t="n">
        <v>55</v>
      </c>
      <c r="E15" s="118" t="n">
        <v>0.065</v>
      </c>
      <c r="F15" s="118" t="n">
        <v>4900</v>
      </c>
      <c r="G15" s="118" t="n">
        <v>1200</v>
      </c>
      <c r="H15" s="118" t="n">
        <v>500</v>
      </c>
      <c r="I15" s="118" t="n">
        <v>0</v>
      </c>
      <c r="J15" s="118" t="s">
        <v>396</v>
      </c>
      <c r="K15" s="118" t="s">
        <v>397</v>
      </c>
      <c r="L15" s="119" t="s">
        <v>398</v>
      </c>
      <c r="M15" s="118" t="n">
        <v>150</v>
      </c>
      <c r="N15" s="120" t="s">
        <v>359</v>
      </c>
      <c r="O15" s="120" t="n">
        <v>0.35</v>
      </c>
      <c r="P15" s="121" t="s">
        <v>360</v>
      </c>
      <c r="Q15" s="121" t="n">
        <v>2.3</v>
      </c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</row>
    <row r="16" customFormat="false" ht="23.85" hidden="false" customHeight="false" outlineLevel="0" collapsed="false">
      <c r="A16" s="118" t="s">
        <v>399</v>
      </c>
      <c r="B16" s="118" t="s">
        <v>355</v>
      </c>
      <c r="C16" s="118" t="n">
        <v>200</v>
      </c>
      <c r="D16" s="118" t="n">
        <v>7</v>
      </c>
      <c r="E16" s="118" t="n">
        <v>0.5</v>
      </c>
      <c r="F16" s="118" t="n">
        <v>450</v>
      </c>
      <c r="G16" s="118" t="n">
        <v>200</v>
      </c>
      <c r="H16" s="118" t="n">
        <v>40</v>
      </c>
      <c r="I16" s="118" t="n">
        <v>70</v>
      </c>
      <c r="J16" s="118" t="s">
        <v>400</v>
      </c>
      <c r="K16" s="118" t="s">
        <v>370</v>
      </c>
      <c r="L16" s="119" t="s">
        <v>401</v>
      </c>
      <c r="M16" s="118" t="n">
        <v>150</v>
      </c>
      <c r="N16" s="120" t="s">
        <v>402</v>
      </c>
      <c r="O16" s="120" t="n">
        <v>0.35</v>
      </c>
      <c r="P16" s="121" t="s">
        <v>360</v>
      </c>
      <c r="Q16" s="121" t="n">
        <v>2.3</v>
      </c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</row>
    <row r="17" customFormat="false" ht="56.7" hidden="false" customHeight="false" outlineLevel="0" collapsed="false">
      <c r="A17" s="118" t="s">
        <v>403</v>
      </c>
      <c r="B17" s="118" t="s">
        <v>404</v>
      </c>
      <c r="C17" s="118" t="n">
        <v>65</v>
      </c>
      <c r="D17" s="118" t="n">
        <v>10</v>
      </c>
      <c r="E17" s="118" t="s">
        <v>18</v>
      </c>
      <c r="F17" s="118" t="n">
        <v>200</v>
      </c>
      <c r="G17" s="118" t="n">
        <v>18</v>
      </c>
      <c r="H17" s="118" t="n">
        <v>300</v>
      </c>
      <c r="I17" s="118" t="n">
        <v>1000</v>
      </c>
      <c r="J17" s="118" t="s">
        <v>405</v>
      </c>
      <c r="K17" s="118" t="s">
        <v>366</v>
      </c>
      <c r="L17" s="119" t="s">
        <v>406</v>
      </c>
      <c r="M17" s="118" t="n">
        <v>200</v>
      </c>
      <c r="N17" s="120" t="s">
        <v>393</v>
      </c>
      <c r="O17" s="120" t="n">
        <v>0.85</v>
      </c>
      <c r="P17" s="121" t="s">
        <v>385</v>
      </c>
      <c r="Q17" s="121" t="n">
        <v>2.3</v>
      </c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16"/>
      <c r="FD17" s="116"/>
      <c r="FE17" s="116"/>
      <c r="FF17" s="116"/>
      <c r="FG17" s="116"/>
      <c r="FH17" s="116"/>
      <c r="FI17" s="116"/>
      <c r="FJ17" s="116"/>
      <c r="FK17" s="116"/>
      <c r="FL17" s="116"/>
      <c r="FM17" s="116"/>
      <c r="FN17" s="116"/>
      <c r="FO17" s="116"/>
      <c r="FP17" s="116"/>
      <c r="FQ17" s="116"/>
      <c r="FR17" s="116"/>
      <c r="FS17" s="116"/>
      <c r="FT17" s="116"/>
      <c r="FU17" s="116"/>
      <c r="FV17" s="116"/>
      <c r="FW17" s="116"/>
      <c r="FX17" s="116"/>
      <c r="FY17" s="116"/>
      <c r="FZ17" s="116"/>
      <c r="GA17" s="116"/>
      <c r="GB17" s="116"/>
      <c r="GC17" s="116"/>
      <c r="GD17" s="116"/>
      <c r="GE17" s="116"/>
      <c r="GF17" s="116"/>
      <c r="GG17" s="116"/>
      <c r="GH17" s="116"/>
      <c r="GI17" s="116"/>
      <c r="GJ17" s="116"/>
      <c r="GK17" s="116"/>
      <c r="GL17" s="116"/>
      <c r="GM17" s="116"/>
      <c r="GN17" s="116"/>
      <c r="GO17" s="116"/>
      <c r="GP17" s="116"/>
      <c r="GQ17" s="116"/>
      <c r="GR17" s="116"/>
      <c r="GS17" s="116"/>
      <c r="GT17" s="116"/>
      <c r="GU17" s="116"/>
      <c r="GV17" s="116"/>
      <c r="GW17" s="116"/>
      <c r="GX17" s="116"/>
      <c r="GY17" s="116"/>
      <c r="GZ17" s="116"/>
      <c r="HA17" s="116"/>
      <c r="HB17" s="116"/>
      <c r="HC17" s="116"/>
      <c r="HD17" s="116"/>
      <c r="HE17" s="116"/>
      <c r="HF17" s="116"/>
      <c r="HG17" s="116"/>
      <c r="HH17" s="116"/>
      <c r="HI17" s="116"/>
      <c r="HJ17" s="116"/>
      <c r="HK17" s="116"/>
      <c r="HL17" s="116"/>
      <c r="HM17" s="116"/>
      <c r="HN17" s="116"/>
      <c r="HO17" s="116"/>
      <c r="HP17" s="116"/>
      <c r="HQ17" s="116"/>
      <c r="HR17" s="116"/>
      <c r="HS17" s="116"/>
      <c r="HT17" s="116"/>
      <c r="HU17" s="116"/>
      <c r="HV17" s="116"/>
      <c r="HW17" s="116"/>
      <c r="HX17" s="116"/>
      <c r="HY17" s="116"/>
      <c r="HZ17" s="116"/>
      <c r="IA17" s="116"/>
      <c r="IB17" s="116"/>
      <c r="IC17" s="116"/>
      <c r="ID17" s="116"/>
      <c r="IE17" s="116"/>
      <c r="IF17" s="116"/>
      <c r="IG17" s="116"/>
      <c r="IH17" s="116"/>
      <c r="II17" s="116"/>
      <c r="IJ17" s="116"/>
      <c r="IK17" s="116"/>
      <c r="IL17" s="116"/>
      <c r="IM17" s="116"/>
      <c r="IN17" s="116"/>
      <c r="IO17" s="116"/>
      <c r="IP17" s="116"/>
      <c r="IQ17" s="116"/>
      <c r="IR17" s="116"/>
      <c r="IS17" s="116"/>
      <c r="IT17" s="116"/>
      <c r="IU17" s="116"/>
      <c r="IV17" s="116"/>
      <c r="IW17" s="116"/>
    </row>
    <row r="18" customFormat="false" ht="23.85" hidden="false" customHeight="false" outlineLevel="0" collapsed="false">
      <c r="A18" s="118" t="s">
        <v>407</v>
      </c>
      <c r="B18" s="118" t="s">
        <v>408</v>
      </c>
      <c r="C18" s="118" t="n">
        <v>200</v>
      </c>
      <c r="D18" s="118" t="n">
        <v>30</v>
      </c>
      <c r="E18" s="118" t="n">
        <v>0.085</v>
      </c>
      <c r="F18" s="118" t="n">
        <v>1700</v>
      </c>
      <c r="G18" s="118" t="n">
        <v>700</v>
      </c>
      <c r="H18" s="118" t="n">
        <v>190</v>
      </c>
      <c r="I18" s="118" t="n">
        <v>35</v>
      </c>
      <c r="J18" s="118" t="s">
        <v>409</v>
      </c>
      <c r="K18" s="118" t="s">
        <v>370</v>
      </c>
      <c r="L18" s="119" t="s">
        <v>410</v>
      </c>
      <c r="M18" s="118" t="n">
        <v>150</v>
      </c>
      <c r="N18" s="120" t="s">
        <v>359</v>
      </c>
      <c r="O18" s="120" t="n">
        <v>0.35</v>
      </c>
      <c r="P18" s="121" t="s">
        <v>360</v>
      </c>
      <c r="Q18" s="121" t="n">
        <v>2.3</v>
      </c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</row>
    <row r="19" customFormat="false" ht="45.75" hidden="false" customHeight="false" outlineLevel="0" collapsed="false">
      <c r="A19" s="118" t="s">
        <v>411</v>
      </c>
      <c r="B19" s="118" t="s">
        <v>412</v>
      </c>
      <c r="C19" s="118" t="n">
        <v>60</v>
      </c>
      <c r="D19" s="118" t="n">
        <v>2</v>
      </c>
      <c r="E19" s="118" t="n">
        <v>2.5</v>
      </c>
      <c r="F19" s="118" t="n">
        <v>50</v>
      </c>
      <c r="G19" s="118" t="n">
        <v>20</v>
      </c>
      <c r="H19" s="118" t="n">
        <v>12</v>
      </c>
      <c r="I19" s="118" t="n">
        <v>250</v>
      </c>
      <c r="J19" s="118" t="s">
        <v>413</v>
      </c>
      <c r="K19" s="118" t="s">
        <v>366</v>
      </c>
      <c r="L19" s="119" t="s">
        <v>414</v>
      </c>
      <c r="M19" s="118" t="n">
        <v>150</v>
      </c>
      <c r="N19" s="120" t="s">
        <v>347</v>
      </c>
      <c r="O19" s="120" t="n">
        <v>0.4</v>
      </c>
      <c r="P19" s="121" t="s">
        <v>348</v>
      </c>
      <c r="Q19" s="121" t="n">
        <v>2.5</v>
      </c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6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</row>
    <row r="20" customFormat="false" ht="15" hidden="false" customHeight="false" outlineLevel="0" collapsed="false"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2026-04-05T22:43:46Z</dcterms:created>
  <dc:creator>openpyxl</dc:creator>
  <dc:description/>
  <dc:language>es-AR</dc:language>
  <cp:lastModifiedBy/>
  <dcterms:modified xsi:type="dcterms:W3CDTF">2026-04-19T10:50:49Z</dcterms:modified>
  <cp:revision>283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